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8268EFE-2557-4AD5-B1C1-CA5A8FCEB4BA}" xr6:coauthVersionLast="47" xr6:coauthVersionMax="47" xr10:uidLastSave="{00000000-0000-0000-0000-000000000000}"/>
  <bookViews>
    <workbookView xWindow="-120" yWindow="-120" windowWidth="20730" windowHeight="11310" firstSheet="1" activeTab="3" xr2:uid="{00000000-000D-0000-FFFF-FFFF00000000}"/>
  </bookViews>
  <sheets>
    <sheet name="Profit &amp; Loss" sheetId="1" r:id="rId1"/>
    <sheet name="Data Sheet" sheetId="6" r:id="rId2"/>
    <sheet name="Quarters" sheetId="3" r:id="rId3"/>
    <sheet name="Dashboard" sheetId="16" r:id="rId4"/>
    <sheet name="Model_Data" sheetId="11" r:id="rId5"/>
    <sheet name="Commentary" sheetId="14" r:id="rId6"/>
    <sheet name="Trend" sheetId="15" r:id="rId7"/>
    <sheet name="Budget vs Actual" sheetId="12" r:id="rId8"/>
    <sheet name="Forecast" sheetId="13" r:id="rId9"/>
    <sheet name="Balance Sheet" sheetId="2" r:id="rId10"/>
    <sheet name="Cash Flow" sheetId="4" r:id="rId11"/>
    <sheet name="Customization" sheetId="5" r:id="rId12"/>
  </sheets>
  <definedNames>
    <definedName name="ExternalData_1" localSheetId="4" hidden="1">Model_Data!$A$1:$C$31</definedName>
    <definedName name="UPDATE">'Data Sheet'!$E$1</definedName>
  </definedNames>
  <calcPr calcId="191029"/>
  <pivotCaches>
    <pivotCache cacheId="0" r:id="rId13"/>
  </pivotCaches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7" i="12" l="1"/>
  <c r="A18" i="12"/>
  <c r="A19" i="12"/>
  <c r="A20" i="12"/>
  <c r="A21" i="12"/>
  <c r="A16" i="12"/>
  <c r="A11" i="12"/>
  <c r="A12" i="12"/>
  <c r="A13" i="12"/>
  <c r="A14" i="12"/>
  <c r="A15" i="12"/>
  <c r="A10" i="12"/>
  <c r="A5" i="12"/>
  <c r="A6" i="12"/>
  <c r="A7" i="12"/>
  <c r="A8" i="12"/>
  <c r="A9" i="12"/>
  <c r="A4" i="12"/>
  <c r="B3" i="3"/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E21" i="2" s="1"/>
  <c r="F18" i="2"/>
  <c r="G18" i="2"/>
  <c r="H18" i="2"/>
  <c r="I18" i="2"/>
  <c r="I21" i="2" s="1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K23" i="2" s="1"/>
  <c r="C5" i="2"/>
  <c r="C23" i="2" s="1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C16" i="2" s="1"/>
  <c r="D13" i="2"/>
  <c r="E13" i="2"/>
  <c r="F13" i="2"/>
  <c r="F16" i="2" s="1"/>
  <c r="G13" i="2"/>
  <c r="H13" i="2"/>
  <c r="I13" i="2"/>
  <c r="J13" i="2"/>
  <c r="K13" i="2"/>
  <c r="K16" i="2" s="1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O8" i="11" s="1"/>
  <c r="H4" i="4"/>
  <c r="P8" i="11" s="1"/>
  <c r="I4" i="4"/>
  <c r="Q8" i="11" s="1"/>
  <c r="J4" i="4"/>
  <c r="R8" i="11" s="1"/>
  <c r="K4" i="4"/>
  <c r="C5" i="4"/>
  <c r="D5" i="4"/>
  <c r="E5" i="4"/>
  <c r="F5" i="4"/>
  <c r="G5" i="4"/>
  <c r="O9" i="11" s="1"/>
  <c r="H5" i="4"/>
  <c r="P9" i="11" s="1"/>
  <c r="I5" i="4"/>
  <c r="Q9" i="11" s="1"/>
  <c r="J5" i="4"/>
  <c r="R9" i="11" s="1"/>
  <c r="K5" i="4"/>
  <c r="S9" i="11" s="1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D4" i="3"/>
  <c r="E4" i="3"/>
  <c r="E14" i="3" s="1"/>
  <c r="F4" i="3"/>
  <c r="G4" i="3"/>
  <c r="G14" i="3" s="1"/>
  <c r="H4" i="3"/>
  <c r="I4" i="3"/>
  <c r="J4" i="3"/>
  <c r="K4" i="3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C6" i="1" s="1"/>
  <c r="D4" i="1"/>
  <c r="E4" i="1"/>
  <c r="F4" i="1"/>
  <c r="G4" i="1"/>
  <c r="G6" i="1" s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E23" i="2" s="1"/>
  <c r="F12" i="1"/>
  <c r="F13" i="1" s="1"/>
  <c r="G12" i="1"/>
  <c r="H12" i="1"/>
  <c r="H13" i="1" s="1"/>
  <c r="I12" i="1"/>
  <c r="I13" i="1" s="1"/>
  <c r="J12" i="1"/>
  <c r="J13" i="1" s="1"/>
  <c r="K12" i="1"/>
  <c r="C15" i="1"/>
  <c r="D15" i="1"/>
  <c r="E15" i="1"/>
  <c r="F15" i="1"/>
  <c r="G15" i="1"/>
  <c r="H15" i="1"/>
  <c r="I15" i="1"/>
  <c r="J15" i="1"/>
  <c r="K15" i="1"/>
  <c r="B15" i="1"/>
  <c r="B7" i="1"/>
  <c r="B4" i="1"/>
  <c r="A1" i="1"/>
  <c r="A1" i="2" s="1"/>
  <c r="A1" i="4" s="1"/>
  <c r="E1" i="6"/>
  <c r="H1" i="1" s="1"/>
  <c r="B6" i="1"/>
  <c r="C3" i="4"/>
  <c r="D3" i="4"/>
  <c r="E3" i="4"/>
  <c r="F3" i="4"/>
  <c r="G3" i="4"/>
  <c r="O7" i="11" s="1"/>
  <c r="H3" i="4"/>
  <c r="P7" i="11" s="1"/>
  <c r="I3" i="4"/>
  <c r="Q7" i="11" s="1"/>
  <c r="J3" i="4"/>
  <c r="R7" i="11" s="1"/>
  <c r="K3" i="4"/>
  <c r="S7" i="11" s="1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F21" i="2"/>
  <c r="B18" i="2"/>
  <c r="B21" i="2" s="1"/>
  <c r="B13" i="2"/>
  <c r="B12" i="2"/>
  <c r="B11" i="2"/>
  <c r="B10" i="2"/>
  <c r="B8" i="2"/>
  <c r="B7" i="2"/>
  <c r="B6" i="2"/>
  <c r="B3" i="2"/>
  <c r="B12" i="3"/>
  <c r="B11" i="3"/>
  <c r="B10" i="3"/>
  <c r="B9" i="3"/>
  <c r="B8" i="3"/>
  <c r="B7" i="3"/>
  <c r="B4" i="3"/>
  <c r="L15" i="1"/>
  <c r="B12" i="1"/>
  <c r="B13" i="1" s="1"/>
  <c r="B11" i="1"/>
  <c r="B10" i="1"/>
  <c r="B9" i="1"/>
  <c r="B8" i="1"/>
  <c r="B3" i="1"/>
  <c r="D20" i="2"/>
  <c r="E20" i="2"/>
  <c r="E6" i="1" l="1"/>
  <c r="A1" i="3"/>
  <c r="F20" i="2"/>
  <c r="E1" i="2"/>
  <c r="H21" i="2"/>
  <c r="D6" i="1"/>
  <c r="D19" i="1" s="1"/>
  <c r="D23" i="2"/>
  <c r="J21" i="2"/>
  <c r="D16" i="1"/>
  <c r="S8" i="11"/>
  <c r="L12" i="11"/>
  <c r="L13" i="11"/>
  <c r="H23" i="1"/>
  <c r="L8" i="11"/>
  <c r="G19" i="1"/>
  <c r="G16" i="1"/>
  <c r="C19" i="1"/>
  <c r="C16" i="1"/>
  <c r="L4" i="1"/>
  <c r="L23" i="1" s="1"/>
  <c r="H16" i="2"/>
  <c r="D16" i="2"/>
  <c r="H23" i="2"/>
  <c r="E19" i="1"/>
  <c r="E16" i="1"/>
  <c r="B19" i="1"/>
  <c r="B16" i="1"/>
  <c r="J6" i="1"/>
  <c r="D21" i="2"/>
  <c r="F23" i="2"/>
  <c r="J20" i="2"/>
  <c r="B20" i="2"/>
  <c r="K13" i="1"/>
  <c r="K14" i="1" s="1"/>
  <c r="L11" i="11"/>
  <c r="L10" i="11"/>
  <c r="G23" i="2"/>
  <c r="C14" i="1"/>
  <c r="I6" i="1"/>
  <c r="E16" i="2"/>
  <c r="K21" i="2"/>
  <c r="G21" i="2"/>
  <c r="C21" i="2"/>
  <c r="J16" i="2"/>
  <c r="B23" i="2"/>
  <c r="K20" i="2"/>
  <c r="J14" i="1"/>
  <c r="F14" i="1"/>
  <c r="A4" i="13" a="1"/>
  <c r="A31" i="13" a="1"/>
  <c r="A18" i="13" a="1"/>
  <c r="L5" i="1"/>
  <c r="L6" i="1"/>
  <c r="L16" i="1" s="1"/>
  <c r="I14" i="3"/>
  <c r="H14" i="3"/>
  <c r="L12" i="1"/>
  <c r="L13" i="1" s="1"/>
  <c r="L14" i="1" s="1"/>
  <c r="L25" i="1" s="1"/>
  <c r="L11" i="1"/>
  <c r="L10" i="1"/>
  <c r="D14" i="3"/>
  <c r="B4" i="12" a="1"/>
  <c r="B16" i="12" a="1"/>
  <c r="B10" i="12" a="1"/>
  <c r="K14" i="3"/>
  <c r="C14" i="3"/>
  <c r="J14" i="3"/>
  <c r="F14" i="3"/>
  <c r="B14" i="3"/>
  <c r="G20" i="2"/>
  <c r="B16" i="2"/>
  <c r="K6" i="1"/>
  <c r="H14" i="1"/>
  <c r="G16" i="2"/>
  <c r="G24" i="2"/>
  <c r="E24" i="2"/>
  <c r="G13" i="1"/>
  <c r="G14" i="1" s="1"/>
  <c r="D13" i="1"/>
  <c r="E13" i="1" s="1"/>
  <c r="C24" i="2"/>
  <c r="I23" i="1"/>
  <c r="C20" i="2"/>
  <c r="E14" i="1"/>
  <c r="L9" i="1"/>
  <c r="N9" i="1" s="1"/>
  <c r="L8" i="1"/>
  <c r="M8" i="1" s="1"/>
  <c r="L7" i="1"/>
  <c r="J23" i="2"/>
  <c r="J24" i="2"/>
  <c r="D24" i="2"/>
  <c r="I14" i="1"/>
  <c r="J23" i="1"/>
  <c r="E1" i="3"/>
  <c r="B14" i="1"/>
  <c r="I16" i="2"/>
  <c r="K24" i="2"/>
  <c r="I24" i="2"/>
  <c r="I23" i="2"/>
  <c r="H24" i="2"/>
  <c r="F24" i="2"/>
  <c r="I25" i="1"/>
  <c r="I20" i="2"/>
  <c r="H20" i="2"/>
  <c r="K23" i="1"/>
  <c r="H6" i="1"/>
  <c r="F6" i="1"/>
  <c r="E1" i="4"/>
  <c r="L19" i="1" l="1"/>
  <c r="L24" i="1" s="1"/>
  <c r="M23" i="1"/>
  <c r="M4" i="1" s="1"/>
  <c r="H2" i="13" s="1" a="1"/>
  <c r="H2" i="13" s="1"/>
  <c r="L14" i="11" s="1"/>
  <c r="N11" i="1"/>
  <c r="D14" i="1"/>
  <c r="M11" i="1"/>
  <c r="L15" i="11"/>
  <c r="K19" i="1"/>
  <c r="K16" i="1"/>
  <c r="L7" i="11"/>
  <c r="L9" i="11"/>
  <c r="K2" i="13"/>
  <c r="K3" i="13"/>
  <c r="K4" i="13"/>
  <c r="K5" i="13"/>
  <c r="J19" i="1"/>
  <c r="J16" i="1"/>
  <c r="J7" i="12"/>
  <c r="J8" i="12"/>
  <c r="J5" i="12"/>
  <c r="J9" i="12"/>
  <c r="J6" i="12"/>
  <c r="F19" i="1"/>
  <c r="F16" i="1"/>
  <c r="I19" i="1"/>
  <c r="I16" i="1"/>
  <c r="H19" i="1"/>
  <c r="J24" i="1" s="1"/>
  <c r="H16" i="1"/>
  <c r="H25" i="1"/>
  <c r="M9" i="1"/>
  <c r="K25" i="1"/>
  <c r="M25" i="1" s="1"/>
  <c r="M14" i="1" s="1"/>
  <c r="J25" i="1"/>
  <c r="A18" i="13"/>
  <c r="B18" i="13" s="1" a="1"/>
  <c r="B18" i="13" s="1"/>
  <c r="B21" i="13" a="1"/>
  <c r="B21" i="13" s="1"/>
  <c r="B25" i="13" a="1"/>
  <c r="B25" i="13" s="1"/>
  <c r="B22" i="13" a="1"/>
  <c r="B22" i="13" s="1"/>
  <c r="B26" i="13" a="1"/>
  <c r="B26" i="13" s="1"/>
  <c r="C26" i="13" s="1"/>
  <c r="B19" i="13" a="1"/>
  <c r="B19" i="13" s="1"/>
  <c r="C19" i="13" s="1"/>
  <c r="B23" i="13" a="1"/>
  <c r="B23" i="13" s="1"/>
  <c r="C23" i="13" s="1"/>
  <c r="B27" i="13" a="1"/>
  <c r="B27" i="13" s="1"/>
  <c r="B20" i="13" a="1"/>
  <c r="B20" i="13" s="1"/>
  <c r="C20" i="13" s="1"/>
  <c r="B24" i="13" a="1"/>
  <c r="B24" i="13" s="1"/>
  <c r="C24" i="13" s="1"/>
  <c r="A31" i="13"/>
  <c r="B31" i="13" s="1" a="1"/>
  <c r="B31" i="13" s="1"/>
  <c r="B33" i="13" a="1"/>
  <c r="B33" i="13" s="1"/>
  <c r="B37" i="13" a="1"/>
  <c r="B37" i="13" s="1"/>
  <c r="B34" i="13" a="1"/>
  <c r="B34" i="13" s="1"/>
  <c r="C34" i="13" s="1"/>
  <c r="B38" i="13" a="1"/>
  <c r="B38" i="13" s="1"/>
  <c r="B35" i="13" a="1"/>
  <c r="B35" i="13" s="1"/>
  <c r="B39" i="13" a="1"/>
  <c r="B39" i="13" s="1"/>
  <c r="C39" i="13" s="1"/>
  <c r="B32" i="13" a="1"/>
  <c r="B32" i="13" s="1"/>
  <c r="C32" i="13" s="1"/>
  <c r="B36" i="13" a="1"/>
  <c r="B36" i="13" s="1"/>
  <c r="C36" i="13" s="1"/>
  <c r="B40" i="13" a="1"/>
  <c r="B40" i="13" s="1"/>
  <c r="A4" i="13"/>
  <c r="B4" i="13" s="1" a="1"/>
  <c r="B4" i="13" s="1"/>
  <c r="B7" i="13" a="1"/>
  <c r="B7" i="13" s="1"/>
  <c r="B11" i="13" a="1"/>
  <c r="B11" i="13" s="1"/>
  <c r="L3" i="13" s="1"/>
  <c r="B13" i="13" a="1"/>
  <c r="B13" i="13" s="1"/>
  <c r="L5" i="13" s="1"/>
  <c r="M5" i="13" s="1"/>
  <c r="B8" i="13" a="1"/>
  <c r="B8" i="13" s="1"/>
  <c r="C8" i="13" s="1"/>
  <c r="B12" i="13" a="1"/>
  <c r="B12" i="13" s="1"/>
  <c r="B9" i="13" a="1"/>
  <c r="B9" i="13" s="1"/>
  <c r="B5" i="13" a="1"/>
  <c r="B5" i="13" s="1"/>
  <c r="C5" i="13" s="1"/>
  <c r="B6" i="13" a="1"/>
  <c r="B6" i="13" s="1"/>
  <c r="C6" i="13" s="1"/>
  <c r="B10" i="13" a="1"/>
  <c r="B10" i="13" s="1"/>
  <c r="N8" i="1"/>
  <c r="B16" i="12"/>
  <c r="D20" i="12" a="1"/>
  <c r="D20" i="12" s="1"/>
  <c r="C20" i="12" a="1"/>
  <c r="C20" i="12" s="1"/>
  <c r="D18" i="12" a="1"/>
  <c r="D18" i="12" s="1"/>
  <c r="C18" i="12" a="1"/>
  <c r="C18" i="12" s="1"/>
  <c r="C19" i="12" a="1"/>
  <c r="C19" i="12" s="1"/>
  <c r="C17" i="12" a="1"/>
  <c r="C17" i="12" s="1"/>
  <c r="C21" i="12" a="1"/>
  <c r="C21" i="12" s="1"/>
  <c r="D19" i="12" a="1"/>
  <c r="D19" i="12" s="1"/>
  <c r="D17" i="12" a="1"/>
  <c r="D17" i="12" s="1"/>
  <c r="E17" i="12" s="1"/>
  <c r="D21" i="12" a="1"/>
  <c r="D21" i="12" s="1"/>
  <c r="E21" i="12" s="1"/>
  <c r="B4" i="12"/>
  <c r="J4" i="12" s="1"/>
  <c r="C8" i="12" a="1"/>
  <c r="C8" i="12" s="1"/>
  <c r="D8" i="12" a="1"/>
  <c r="D8" i="12" s="1"/>
  <c r="D9" i="12" a="1"/>
  <c r="D9" i="12" s="1"/>
  <c r="D6" i="12" a="1"/>
  <c r="D6" i="12" s="1"/>
  <c r="C7" i="12" a="1"/>
  <c r="C7" i="12" s="1"/>
  <c r="D5" i="12" a="1"/>
  <c r="D5" i="12" s="1"/>
  <c r="C9" i="12" a="1"/>
  <c r="C9" i="12" s="1"/>
  <c r="C6" i="12" a="1"/>
  <c r="C6" i="12" s="1"/>
  <c r="D7" i="12" a="1"/>
  <c r="D7" i="12" s="1"/>
  <c r="E7" i="12" s="1"/>
  <c r="C5" i="12" a="1"/>
  <c r="C5" i="12" s="1"/>
  <c r="B10" i="12"/>
  <c r="D12" i="12" a="1"/>
  <c r="D12" i="12" s="1"/>
  <c r="L6" i="12" s="1"/>
  <c r="C12" i="12" a="1"/>
  <c r="C12" i="12" s="1"/>
  <c r="K6" i="12" s="1"/>
  <c r="M6" i="12" s="1"/>
  <c r="D14" i="12" a="1"/>
  <c r="D14" i="12" s="1"/>
  <c r="L8" i="12" s="1"/>
  <c r="C14" i="12" a="1"/>
  <c r="C14" i="12" s="1"/>
  <c r="K8" i="12" s="1"/>
  <c r="C13" i="12" a="1"/>
  <c r="C13" i="12" s="1"/>
  <c r="K7" i="12" s="1"/>
  <c r="C11" i="12" a="1"/>
  <c r="C11" i="12" s="1"/>
  <c r="K5" i="12" s="1"/>
  <c r="C15" i="12" a="1"/>
  <c r="C15" i="12" s="1"/>
  <c r="K9" i="12" s="1"/>
  <c r="M9" i="12" s="1"/>
  <c r="D13" i="12" a="1"/>
  <c r="D13" i="12" s="1"/>
  <c r="D11" i="12" a="1"/>
  <c r="D11" i="12" s="1"/>
  <c r="L5" i="12" s="1"/>
  <c r="D15" i="12" a="1"/>
  <c r="D15" i="12" s="1"/>
  <c r="L9" i="12" s="1"/>
  <c r="N25" i="1"/>
  <c r="N14" i="1" s="1"/>
  <c r="N23" i="1"/>
  <c r="N4" i="1" s="1"/>
  <c r="I2" i="13" s="1" a="1"/>
  <c r="I2" i="13" s="1"/>
  <c r="I24" i="1"/>
  <c r="N5" i="12" l="1"/>
  <c r="M8" i="12"/>
  <c r="E13" i="12"/>
  <c r="G13" i="12" s="1"/>
  <c r="L7" i="12"/>
  <c r="N7" i="12" s="1"/>
  <c r="N8" i="12"/>
  <c r="N9" i="12"/>
  <c r="M5" i="12"/>
  <c r="K24" i="1"/>
  <c r="M24" i="1" s="1"/>
  <c r="M6" i="1" s="1"/>
  <c r="M5" i="1" s="1"/>
  <c r="N6" i="12"/>
  <c r="H24" i="1"/>
  <c r="C10" i="13"/>
  <c r="L2" i="13"/>
  <c r="C12" i="13"/>
  <c r="L4" i="13"/>
  <c r="C40" i="13"/>
  <c r="C35" i="13"/>
  <c r="C27" i="13"/>
  <c r="C22" i="13"/>
  <c r="C9" i="13"/>
  <c r="C38" i="13"/>
  <c r="C13" i="13"/>
  <c r="C33" i="13"/>
  <c r="C11" i="13"/>
  <c r="C25" i="13"/>
  <c r="C7" i="13"/>
  <c r="C21" i="13"/>
  <c r="C37" i="13"/>
  <c r="E20" i="12"/>
  <c r="F20" i="12" s="1"/>
  <c r="E14" i="12"/>
  <c r="G14" i="12" s="1"/>
  <c r="E8" i="12"/>
  <c r="F8" i="12" s="1"/>
  <c r="E11" i="12"/>
  <c r="G11" i="12" s="1"/>
  <c r="E12" i="12"/>
  <c r="G12" i="12" s="1"/>
  <c r="E6" i="12"/>
  <c r="D4" i="12" a="1"/>
  <c r="D4" i="12" s="1"/>
  <c r="C4" i="12" a="1"/>
  <c r="C4" i="12" s="1"/>
  <c r="E18" i="12"/>
  <c r="E15" i="12"/>
  <c r="G15" i="12" s="1"/>
  <c r="F13" i="12"/>
  <c r="D10" i="12" a="1"/>
  <c r="D10" i="12" s="1"/>
  <c r="L4" i="12" s="1"/>
  <c r="C10" i="12" a="1"/>
  <c r="C10" i="12" s="1"/>
  <c r="K4" i="12" s="1"/>
  <c r="E9" i="12"/>
  <c r="G21" i="12"/>
  <c r="F21" i="12"/>
  <c r="E5" i="12"/>
  <c r="G17" i="12"/>
  <c r="F17" i="12"/>
  <c r="F7" i="12"/>
  <c r="G7" i="12"/>
  <c r="E19" i="12"/>
  <c r="D16" i="12" a="1"/>
  <c r="D16" i="12" s="1"/>
  <c r="C16" i="12" a="1"/>
  <c r="C16" i="12" s="1"/>
  <c r="N4" i="12" l="1"/>
  <c r="N24" i="1"/>
  <c r="N6" i="1" s="1"/>
  <c r="G8" i="12"/>
  <c r="E2" i="13" a="1"/>
  <c r="E2" i="13" s="1"/>
  <c r="F2" i="13" s="1" a="1"/>
  <c r="F2" i="13" s="1"/>
  <c r="M7" i="12"/>
  <c r="N10" i="1"/>
  <c r="N12" i="1" s="1"/>
  <c r="N13" i="1" s="1"/>
  <c r="N15" i="1" s="1"/>
  <c r="N16" i="1"/>
  <c r="M4" i="12"/>
  <c r="M10" i="1"/>
  <c r="M12" i="1" s="1"/>
  <c r="M13" i="1" s="1"/>
  <c r="M15" i="1" s="1"/>
  <c r="M16" i="1"/>
  <c r="G20" i="12"/>
  <c r="F11" i="12"/>
  <c r="E16" i="12"/>
  <c r="F16" i="12" s="1"/>
  <c r="F14" i="12"/>
  <c r="E10" i="12"/>
  <c r="G10" i="12" s="1"/>
  <c r="E4" i="12"/>
  <c r="F4" i="12" s="1"/>
  <c r="G9" i="12"/>
  <c r="F9" i="12"/>
  <c r="F15" i="12"/>
  <c r="F6" i="12"/>
  <c r="G6" i="12"/>
  <c r="F18" i="12"/>
  <c r="G18" i="12"/>
  <c r="F12" i="12"/>
  <c r="G16" i="12"/>
  <c r="G19" i="12"/>
  <c r="F19" i="12"/>
  <c r="G5" i="12"/>
  <c r="F5" i="12"/>
  <c r="N5" i="1"/>
  <c r="M6" i="13" l="1"/>
  <c r="M7" i="13" s="1"/>
  <c r="M8" i="13" s="1"/>
  <c r="M9" i="13" s="1"/>
  <c r="F10" i="12"/>
  <c r="D7" i="14" a="1"/>
  <c r="D7" i="14" s="1"/>
  <c r="D6" i="14" a="1"/>
  <c r="D6" i="14" s="1"/>
  <c r="D5" i="14" a="1"/>
  <c r="D5" i="14" s="1"/>
  <c r="D4" i="14" a="1"/>
  <c r="D4" i="14" s="1"/>
  <c r="G4" i="12"/>
  <c r="B5" i="14" l="1" a="1"/>
  <c r="B5" i="14" s="1"/>
  <c r="E5" i="14" a="1"/>
  <c r="E5" i="14" s="1"/>
  <c r="C5" i="14" a="1"/>
  <c r="C5" i="14" s="1"/>
  <c r="B6" i="14" a="1"/>
  <c r="B6" i="14" s="1"/>
  <c r="C6" i="14" a="1"/>
  <c r="C6" i="14" s="1"/>
  <c r="E6" i="14" a="1"/>
  <c r="E6" i="14" s="1"/>
  <c r="B7" i="14" a="1"/>
  <c r="B7" i="14" s="1"/>
  <c r="E7" i="14" a="1"/>
  <c r="E7" i="14" s="1"/>
  <c r="C7" i="14" a="1"/>
  <c r="C7" i="14" s="1"/>
  <c r="E4" i="14" a="1"/>
  <c r="E4" i="14" s="1"/>
  <c r="C4" i="14" a="1"/>
  <c r="C4" i="14" s="1"/>
  <c r="B4" i="14" a="1"/>
  <c r="B4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524E73-B671-45C6-BE6F-3AD4E6FF5B92}" keepAlive="1" name="Query - tbl_Quarters" description="Connection to the 'tbl_Quarters' query in the workbook." type="5" refreshedVersion="8" background="1" saveData="1">
    <dbPr connection="Provider=Microsoft.Mashup.OleDb.1;Data Source=$Workbook$;Location=tbl_Quarters;Extended Properties=&quot;&quot;" command="SELECT * FROM [tbl_Quarter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<sst xmlns="http://schemas.openxmlformats.org/spreadsheetml/2006/main" count="298" uniqueCount="155">
  <si>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</si>
  <si>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</si>
  <si>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</si>
  <si>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</si>
  <si>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</si>
  <si>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</si>
  <si>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</si>
  <si>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</si>
  <si>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</si>
  <si>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</si>
  <si>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</si>
  <si>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</si>
  <si>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</si>
  <si>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</si>
  <si>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</si>
  <si>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</si>
  <si>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</si>
  <si>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</si>
  <si>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</si>
  <si>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</si>
  <si>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</si>
  <si>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</si>
  <si>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</si>
  <si>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</si>
  <si>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</si>
  <si>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</si>
  <si>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</si>
  <si>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</si>
  <si>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</si>
  <si>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</si>
  <si>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</si>
  <si>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</si>
  <si>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</si>
  <si>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</si>
  <si>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</si>
  <si>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</si>
  <si>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</si>
  <si>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</si>
  <si>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</si>
  <si>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</si>
  <si>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</si>
  <si>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</si>
  <si>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</si>
  <si>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</si>
  <si>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</si>
  <si>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</si>
  <si>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</si>
  <si>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</si>
  <si>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</si>
  <si>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</si>
  <si>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</si>
  <si>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</si>
  <si>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</si>
  <si>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</si>
  <si>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</si>
  <si>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</si>
  <si>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</si>
  <si>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</si>
  <si>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</si>
  <si>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</si>
  <si>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</si>
  <si>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</si>
  <si>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</si>
  <si>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BRITANNIA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</si>
  <si>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</si>
  <si>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</si>
  <si>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</si>
  <si>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</si>
  <si>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</si>
  <si>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</si>
  <si>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</si>
  <si>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</si>
  <si>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</si>
  <si>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</si>
  <si>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</si>
  <si>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</si>
  <si>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</si>
  <si>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</si>
  <si>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</si>
  <si>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</si>
  <si>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</si>
  <si>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</si>
  <si>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</si>
  <si>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</si>
  <si>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</si>
  <si>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</si>
  <si>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</si>
  <si>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</si>
  <si>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</si>
  <si>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</si>
  <si>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</si>
  <si>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</si>
  <si>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</si>
  <si>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Budget (PY Qtr)</t>
  </si>
  <si>
    <t>Actual</t>
  </si>
  <si>
    <t>Variance</t>
  </si>
  <si>
    <t>Variance %</t>
  </si>
  <si>
    <t>Mar-24</t>
  </si>
  <si>
    <t>Jun-24</t>
  </si>
  <si>
    <t>Sep-24</t>
  </si>
  <si>
    <t>Dec-24</t>
  </si>
  <si>
    <t>Mar-25</t>
  </si>
  <si>
    <t>Jun-25</t>
  </si>
  <si>
    <t>Sep-25</t>
  </si>
  <si>
    <t>Dec-25</t>
  </si>
  <si>
    <t>Mar-26</t>
  </si>
  <si>
    <t>Jun-26</t>
  </si>
  <si>
    <t>Quarter</t>
  </si>
  <si>
    <t>Amount</t>
  </si>
  <si>
    <t>BUDGET VS ACTUAL (Dynamic)</t>
  </si>
  <si>
    <t>Line Item</t>
  </si>
  <si>
    <t>Flag</t>
  </si>
  <si>
    <t>Growth %</t>
  </si>
  <si>
    <t>Next Qtr Forecast</t>
  </si>
  <si>
    <t>Avg Growth ( rolling last 4  Qtr)</t>
  </si>
  <si>
    <t>Best Case ( Annual )</t>
  </si>
  <si>
    <t>Worst  case ( Annual )</t>
  </si>
  <si>
    <t>FORECAST</t>
  </si>
  <si>
    <t>r</t>
  </si>
  <si>
    <t>Rank</t>
  </si>
  <si>
    <t>Margin jumped ~290 bps YoY this quarter — driven by steady raw material costs plus tighter cost control, including a sharp cut in employee expenses and lower overheads.</t>
  </si>
  <si>
    <t>Your Note( why)</t>
  </si>
  <si>
    <t>Your Note (Recommendation)</t>
  </si>
  <si>
    <t>Lock in current cost discipline as a repeatable practice, not a one-off — track employee cost ratio and overhead ratio quarterly to catch slippage early.</t>
  </si>
  <si>
    <t>Revenue grew steady double-digit YoY, and margin held firm as commodity prices (palm oil, cocoa) eased slightly versus prior quarter, plus strong contribution from faster-growing adjacent categories (cakes, wafers, rusk).</t>
  </si>
  <si>
    <t>Keep watching commodity price trend — this was a tailwind, not guaranteed to repeat. Model a sensitivity case for input cost reversal.</t>
  </si>
  <si>
    <t>Continued benefit from raw material cost stabilization plus a formal cost-mitigation program the company started this quarter specifically to offset future inflation/input-cost risk.</t>
  </si>
  <si>
    <t>Favorable trend, but driver has shifted from "lucky easing" to "active program" — good sign for sustainability, worth flagging as a watch-item for durability in forecast assumptions.</t>
  </si>
  <si>
    <t>Revenue grew well this quarter (~9%), but expenses grew even faster — raw material cost inflation, higher packaging/distribution costs, and increased promotional spend all hit at once, while volume growth came in weaker than expected (only 2%).</t>
  </si>
  <si>
    <t>Flag as a quarter where spend grew ahead of volume — worth separating "temporary promo push" from "structural cost creep" before budgeting next year's similar quarter.</t>
  </si>
  <si>
    <t>TOP 4 VARIANCE DRIVERS (auto -ranked)</t>
  </si>
  <si>
    <t>SALES AND OPERATING PROFIT TREND - 10 QUARTERS</t>
  </si>
  <si>
    <t>Row Labels</t>
  </si>
  <si>
    <t>Grand Total</t>
  </si>
  <si>
    <t>Sum of Amount</t>
  </si>
  <si>
    <t>Column Labels</t>
  </si>
  <si>
    <t>=</t>
  </si>
  <si>
    <t xml:space="preserve"> </t>
  </si>
  <si>
    <t>Select Metric :</t>
  </si>
  <si>
    <t xml:space="preserve">Budget </t>
  </si>
  <si>
    <t xml:space="preserve"> Varience</t>
  </si>
  <si>
    <t>4-QTR Forecast</t>
  </si>
  <si>
    <t>Q1 FY2027</t>
  </si>
  <si>
    <t>Q2 FY2027</t>
  </si>
  <si>
    <t>Q3 FY2026</t>
  </si>
  <si>
    <t>Q4 FY2026</t>
  </si>
  <si>
    <t>Metric</t>
  </si>
  <si>
    <t>Operating Cash flow (Cr)</t>
  </si>
  <si>
    <t>Investing Cash flow (Cr)</t>
  </si>
  <si>
    <t>Driver 1 : Margin  Expansion Dynamics</t>
  </si>
  <si>
    <t>Driver 2 : Quarterly Variance Drivers</t>
  </si>
  <si>
    <t>Driver 3 :Stretegic Outlook &amp; Capex</t>
  </si>
  <si>
    <r>
      <rPr>
        <b/>
        <sz val="11"/>
        <color theme="1"/>
        <rFont val="Calibri"/>
        <family val="2"/>
        <scheme val="minor"/>
      </rPr>
      <t>EBITDA Margin :</t>
    </r>
    <r>
      <rPr>
        <sz val="11"/>
        <color theme="1"/>
        <rFont val="Calibri"/>
        <family val="2"/>
        <scheme val="minor"/>
      </rPr>
      <t xml:space="preserve"> Reached </t>
    </r>
    <r>
      <rPr>
        <b/>
        <sz val="11"/>
        <color theme="1"/>
        <rFont val="Calibri"/>
        <family val="2"/>
        <scheme val="minor"/>
      </rPr>
      <t xml:space="preserve">18.35% </t>
    </r>
    <r>
      <rPr>
        <sz val="11"/>
        <color theme="1"/>
        <rFont val="Calibri"/>
        <family val="2"/>
        <scheme val="minor"/>
      </rPr>
      <t xml:space="preserve"> in FY 2026       (+65bps expansion).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 xml:space="preserve">Input Costs: </t>
    </r>
    <r>
      <rPr>
        <sz val="11"/>
        <color theme="1"/>
        <rFont val="Calibri"/>
        <family val="2"/>
        <scheme val="minor"/>
      </rPr>
      <t xml:space="preserve">Palm oil and flour price stabilization reduced COGS to </t>
    </r>
    <r>
      <rPr>
        <b/>
        <sz val="11"/>
        <color theme="1"/>
        <rFont val="Calibri"/>
        <family val="2"/>
        <scheme val="minor"/>
      </rPr>
      <t xml:space="preserve"> 58.2% </t>
    </r>
    <r>
      <rPr>
        <sz val="11"/>
        <color theme="1"/>
        <rFont val="Calibri"/>
        <family val="2"/>
        <scheme val="minor"/>
      </rPr>
      <t xml:space="preserve">of sales.                                </t>
    </r>
    <r>
      <rPr>
        <b/>
        <sz val="11"/>
        <color theme="1"/>
        <rFont val="Calibri"/>
        <family val="2"/>
        <scheme val="minor"/>
      </rPr>
      <t xml:space="preserve">Efficiency: </t>
    </r>
    <r>
      <rPr>
        <sz val="11"/>
        <color theme="1"/>
        <rFont val="Calibri"/>
        <family val="2"/>
        <scheme val="minor"/>
      </rPr>
      <t>Factory automation offset employee cost increases.</t>
    </r>
  </si>
  <si>
    <r>
      <rPr>
        <b/>
        <sz val="11"/>
        <color theme="1"/>
        <rFont val="Calibri"/>
        <family val="2"/>
        <scheme val="minor"/>
      </rPr>
      <t xml:space="preserve">Q3 Peak Performance: </t>
    </r>
    <r>
      <rPr>
        <sz val="11"/>
        <color theme="1"/>
        <rFont val="Calibri"/>
        <family val="2"/>
        <scheme val="minor"/>
      </rPr>
      <t xml:space="preserve"> Operating Profit surged </t>
    </r>
    <r>
      <rPr>
        <b/>
        <sz val="11"/>
        <color theme="1"/>
        <rFont val="Calibri"/>
        <family val="2"/>
        <scheme val="minor"/>
      </rPr>
      <t xml:space="preserve">+22 % YoY </t>
    </r>
    <r>
      <rPr>
        <sz val="11"/>
        <color theme="1"/>
        <rFont val="Calibri"/>
        <family val="2"/>
        <scheme val="minor"/>
      </rPr>
      <t xml:space="preserve">during festive demand.                                   </t>
    </r>
    <r>
      <rPr>
        <b/>
        <sz val="11"/>
        <color theme="1"/>
        <rFont val="Calibri"/>
        <family val="2"/>
        <scheme val="minor"/>
      </rPr>
      <t xml:space="preserve">Volume Growth: </t>
    </r>
    <r>
      <rPr>
        <sz val="11"/>
        <color theme="1"/>
        <rFont val="Calibri"/>
        <family val="2"/>
        <scheme val="minor"/>
      </rPr>
      <t xml:space="preserve"> Urban retail distribution expanded by</t>
    </r>
    <r>
      <rPr>
        <b/>
        <sz val="11"/>
        <color theme="1"/>
        <rFont val="Calibri"/>
        <family val="2"/>
        <scheme val="minor"/>
      </rPr>
      <t xml:space="preserve"> +8.4%.                                                       bAD Spend: </t>
    </r>
    <r>
      <rPr>
        <sz val="11"/>
        <color theme="1"/>
        <rFont val="Calibri"/>
        <family val="2"/>
        <scheme val="minor"/>
      </rPr>
      <t xml:space="preserve">Marketing spend held steady at </t>
    </r>
    <r>
      <rPr>
        <b/>
        <sz val="11"/>
        <color theme="1"/>
        <rFont val="Calibri"/>
        <family val="2"/>
        <scheme val="minor"/>
      </rPr>
      <t xml:space="preserve">4.1% </t>
    </r>
    <r>
      <rPr>
        <sz val="11"/>
        <color theme="1"/>
        <rFont val="Calibri"/>
        <family val="2"/>
        <scheme val="minor"/>
      </rPr>
      <t>of revenue.</t>
    </r>
  </si>
  <si>
    <r>
      <t xml:space="preserve">Cash Operations : </t>
    </r>
    <r>
      <rPr>
        <sz val="11"/>
        <color theme="1"/>
        <rFont val="Calibri"/>
        <family val="2"/>
        <scheme val="minor"/>
      </rPr>
      <t xml:space="preserve">CFO of </t>
    </r>
    <r>
      <rPr>
        <b/>
        <sz val="11"/>
        <color theme="1"/>
        <rFont val="Calibri"/>
        <family val="2"/>
        <scheme val="minor"/>
      </rPr>
      <t>Rs.2,611.60 Cr</t>
    </r>
    <r>
      <rPr>
        <sz val="11"/>
        <color theme="1"/>
        <rFont val="Calibri"/>
        <family val="2"/>
        <scheme val="minor"/>
      </rPr>
      <t xml:space="preserve"> covers  FY2026 Capex (Rs.640 Cr) by </t>
    </r>
    <r>
      <rPr>
        <b/>
        <sz val="11"/>
        <color theme="1"/>
        <rFont val="Calibri"/>
        <family val="2"/>
        <scheme val="minor"/>
      </rPr>
      <t xml:space="preserve">4.08x.                                  Free Cash Flow: </t>
    </r>
    <r>
      <rPr>
        <sz val="11"/>
        <color theme="1"/>
        <rFont val="Calibri"/>
        <family val="2"/>
        <scheme val="minor"/>
      </rPr>
      <t xml:space="preserve"> Reached record </t>
    </r>
    <r>
      <rPr>
        <b/>
        <sz val="11"/>
        <color theme="1"/>
        <rFont val="Calibri"/>
        <family val="2"/>
        <scheme val="minor"/>
      </rPr>
      <t xml:space="preserve">Rs.1,971.60 Cr.      FY2027 Projection : </t>
    </r>
    <r>
      <rPr>
        <sz val="11"/>
        <color theme="1"/>
        <rFont val="Calibri"/>
        <family val="2"/>
        <scheme val="minor"/>
      </rPr>
      <t xml:space="preserve">Revenue projected at </t>
    </r>
    <r>
      <rPr>
        <b/>
        <sz val="11"/>
        <color theme="1"/>
        <rFont val="Calibri"/>
        <family val="2"/>
        <scheme val="minor"/>
      </rPr>
      <t xml:space="preserve">Rs.20,442.00 Cr </t>
    </r>
    <r>
      <rPr>
        <sz val="11"/>
        <color theme="1"/>
        <rFont val="Calibri"/>
        <family val="2"/>
        <scheme val="minor"/>
      </rPr>
      <t>(+6.7% YoY)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</si>
</sst>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66" formatCode="0.0%"/>
    <numFmt numFmtId="167" formatCode="0.0"/>
    <numFmt numFmtId="168" formatCode="&quot;Rs.&quot;\ #,##0.00\ &quot;Cr&quot;"/>
    <numFmt numFmtId="169" formatCode="&quot;+&quot;\ 0.0%\ &quot;YoY&quot;"/>
    <numFmt numFmtId="170" formatCode="\ &quot;+&quot;\ 0.0%\ &quot;YoY&quot;"/>
    <numFmt numFmtId="171" formatCode="0.00%\ &quot;Magin&quot;"/>
    <numFmt numFmtId="172" formatCode="0.00%\ &quot;Conversion&quot;"/>
    <numFmt numFmtId="173" formatCode="0.0%\ &quot;Est Growth&quot;"/>
    <numFmt numFmtId="174" formatCode="&quot;+&quot;\ 0%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u val="singleAccounting"/>
      <sz val="11"/>
      <color theme="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1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  <xf numFmtId="0" fontId="5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</cellStyleXfs>
  <cellXfs count="86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0" fontId="0" fillId="0" borderId="0" xfId="0" applyNumberFormat="1"/>
    <xf numFmtId="0" fontId="10" fillId="0" borderId="0" xfId="0" applyFont="1" applyAlignment="1">
      <alignment horizontal="centerContinuous"/>
    </xf>
    <xf numFmtId="9" fontId="0" fillId="0" borderId="0" xfId="6" applyFont="1"/>
    <xf numFmtId="0" fontId="5" fillId="6" borderId="0" xfId="7"/>
    <xf numFmtId="165" fontId="0" fillId="0" borderId="0" xfId="0" applyNumberFormat="1"/>
    <xf numFmtId="0" fontId="0" fillId="10" borderId="0" xfId="0" applyFill="1"/>
    <xf numFmtId="166" fontId="0" fillId="0" borderId="0" xfId="0" applyNumberFormat="1"/>
    <xf numFmtId="0" fontId="3" fillId="7" borderId="0" xfId="8"/>
    <xf numFmtId="0" fontId="0" fillId="7" borderId="0" xfId="8" applyFont="1"/>
    <xf numFmtId="0" fontId="5" fillId="6" borderId="0" xfId="7" applyAlignment="1">
      <alignment horizontal="centerContinuous"/>
    </xf>
    <xf numFmtId="0" fontId="11" fillId="9" borderId="1" xfId="10" applyFont="1" applyBorder="1" applyAlignment="1">
      <alignment horizontal="centerContinuous"/>
    </xf>
    <xf numFmtId="0" fontId="12" fillId="10" borderId="0" xfId="7" applyFont="1" applyFill="1" applyAlignment="1">
      <alignment horizontal="centerContinuous"/>
    </xf>
    <xf numFmtId="0" fontId="5" fillId="6" borderId="2" xfId="7" applyBorder="1"/>
    <xf numFmtId="0" fontId="5" fillId="6" borderId="3" xfId="7" applyBorder="1"/>
    <xf numFmtId="0" fontId="5" fillId="6" borderId="4" xfId="7" applyBorder="1"/>
    <xf numFmtId="166" fontId="1" fillId="0" borderId="5" xfId="0" applyNumberFormat="1" applyFont="1" applyBorder="1"/>
    <xf numFmtId="0" fontId="1" fillId="0" borderId="6" xfId="0" applyFont="1" applyBorder="1"/>
    <xf numFmtId="167" fontId="1" fillId="0" borderId="6" xfId="0" applyNumberFormat="1" applyFont="1" applyBorder="1"/>
    <xf numFmtId="167" fontId="1" fillId="0" borderId="7" xfId="0" applyNumberFormat="1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9" fontId="0" fillId="0" borderId="1" xfId="6" applyFont="1" applyBorder="1" applyAlignment="1">
      <alignment horizontal="center" vertical="center"/>
    </xf>
    <xf numFmtId="0" fontId="3" fillId="8" borderId="1" xfId="9" applyBorder="1" applyAlignment="1">
      <alignment horizontal="center"/>
    </xf>
    <xf numFmtId="0" fontId="0" fillId="8" borderId="1" xfId="9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applyNumberFormat="1"/>
    <xf numFmtId="0" fontId="0" fillId="11" borderId="0" xfId="0" applyFill="1"/>
    <xf numFmtId="168" fontId="1" fillId="0" borderId="0" xfId="1" applyNumberFormat="1" applyFont="1" applyBorder="1"/>
    <xf numFmtId="169" fontId="0" fillId="0" borderId="0" xfId="6" applyNumberFormat="1" applyFont="1"/>
    <xf numFmtId="170" fontId="0" fillId="0" borderId="0" xfId="6" applyNumberFormat="1" applyFont="1"/>
    <xf numFmtId="171" fontId="0" fillId="0" borderId="0" xfId="6" applyNumberFormat="1" applyFont="1"/>
    <xf numFmtId="172" fontId="0" fillId="0" borderId="0" xfId="6" applyNumberFormat="1" applyFont="1"/>
    <xf numFmtId="173" fontId="0" fillId="0" borderId="0" xfId="6" applyNumberFormat="1" applyFont="1"/>
    <xf numFmtId="0" fontId="13" fillId="11" borderId="0" xfId="0" applyFont="1" applyFill="1"/>
    <xf numFmtId="9" fontId="0" fillId="0" borderId="0" xfId="6" applyFont="1" applyBorder="1"/>
    <xf numFmtId="0" fontId="0" fillId="11" borderId="0" xfId="0" applyFill="1" applyBorder="1"/>
    <xf numFmtId="0" fontId="14" fillId="12" borderId="10" xfId="0" applyFont="1" applyFill="1" applyBorder="1" applyAlignment="1">
      <alignment horizontal="centerContinuous"/>
    </xf>
    <xf numFmtId="0" fontId="14" fillId="12" borderId="11" xfId="0" applyFont="1" applyFill="1" applyBorder="1" applyAlignment="1">
      <alignment horizontal="centerContinuous"/>
    </xf>
    <xf numFmtId="0" fontId="14" fillId="12" borderId="12" xfId="0" applyFont="1" applyFill="1" applyBorder="1" applyAlignment="1">
      <alignment horizontal="centerContinuous"/>
    </xf>
    <xf numFmtId="174" fontId="0" fillId="0" borderId="0" xfId="6" applyNumberFormat="1" applyFont="1"/>
    <xf numFmtId="0" fontId="5" fillId="6" borderId="0" xfId="7" applyBorder="1"/>
    <xf numFmtId="2" fontId="0" fillId="0" borderId="0" xfId="0" applyNumberFormat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  <xf numFmtId="0" fontId="1" fillId="12" borderId="8" xfId="0" applyFont="1" applyFill="1" applyBorder="1" applyAlignment="1">
      <alignment vertical="top" wrapText="1"/>
    </xf>
    <xf numFmtId="0" fontId="2" fillId="13" borderId="13" xfId="0" applyFont="1" applyFill="1" applyBorder="1" applyAlignment="1">
      <alignment horizontal="center"/>
    </xf>
    <xf numFmtId="0" fontId="2" fillId="13" borderId="14" xfId="0" applyFont="1" applyFill="1" applyBorder="1" applyAlignment="1">
      <alignment horizontal="center"/>
    </xf>
    <xf numFmtId="0" fontId="2" fillId="13" borderId="15" xfId="0" applyFont="1" applyFill="1" applyBorder="1" applyAlignment="1">
      <alignment horizontal="center"/>
    </xf>
    <xf numFmtId="0" fontId="0" fillId="12" borderId="8" xfId="0" applyFill="1" applyBorder="1" applyAlignment="1">
      <alignment vertical="top" wrapText="1"/>
    </xf>
    <xf numFmtId="0" fontId="0" fillId="12" borderId="9" xfId="0" applyFill="1" applyBorder="1" applyAlignment="1">
      <alignment vertical="top" wrapText="1"/>
    </xf>
    <xf numFmtId="0" fontId="0" fillId="12" borderId="8" xfId="0" applyFill="1" applyBorder="1" applyAlignment="1">
      <alignment horizontal="left" vertical="top" wrapText="1"/>
    </xf>
  </cellXfs>
  <cellStyles count="11">
    <cellStyle name="20% - Accent1" xfId="8" builtinId="30"/>
    <cellStyle name="20% - Accent5" xfId="10" builtinId="46"/>
    <cellStyle name="40% - Accent1" xfId="9" builtinId="31"/>
    <cellStyle name="60% - Accent1" xfId="3" builtinId="32"/>
    <cellStyle name="60% - Accent3" xfId="4" builtinId="40"/>
    <cellStyle name="Accent1" xfId="7" builtinId="29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numFmt numFmtId="19" formatCode="m/d/yyyy"/>
    </dxf>
    <dxf>
      <numFmt numFmtId="0" formatCode="General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4D7C0F"/>
      <color rgb="FF6D28D9"/>
      <color rgb="FF1E3A8A"/>
      <color rgb="FF0D9488"/>
      <color rgb="FF94A3B8"/>
      <color rgb="FF0F172A"/>
      <color rgb="FF717171"/>
      <color rgb="FFF8FAFC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900" b="1">
                <a:solidFill>
                  <a:sysClr val="windowText" lastClr="000000"/>
                </a:solidFill>
              </a:rPr>
              <a:t>10- Year Sales Trend &amp; OPM  %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871762341063987"/>
          <c:y val="0.14944724949582677"/>
          <c:w val="0.69730178173441559"/>
          <c:h val="0.6770771201036315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2060"/>
            </a:solidFill>
            <a:ln w="12700">
              <a:solidFill>
                <a:srgbClr val="002060"/>
              </a:solidFill>
            </a:ln>
            <a:effectLst/>
          </c:spPr>
          <c:invertIfNegative val="0"/>
          <c:dLbls>
            <c:delete val="1"/>
          </c:dLbls>
          <c:cat>
            <c:numRef>
              <c:f>'Profit &amp; Loss'!$B$3:$K$3</c:f>
              <c:numCache>
                <c:formatCode>[$-409]mmm\-yy;@</c:formatCode>
                <c:ptCount val="10"/>
                <c:pt idx="0">
                  <c:v>42825</c:v>
                </c:pt>
                <c:pt idx="1">
                  <c:v>43190</c:v>
                </c:pt>
                <c:pt idx="2">
                  <c:v>43555</c:v>
                </c:pt>
                <c:pt idx="3">
                  <c:v>43921</c:v>
                </c:pt>
                <c:pt idx="4">
                  <c:v>44286</c:v>
                </c:pt>
                <c:pt idx="5">
                  <c:v>44651</c:v>
                </c:pt>
                <c:pt idx="6">
                  <c:v>45016</c:v>
                </c:pt>
                <c:pt idx="7">
                  <c:v>45382</c:v>
                </c:pt>
                <c:pt idx="8">
                  <c:v>45747</c:v>
                </c:pt>
                <c:pt idx="9">
                  <c:v>46112</c:v>
                </c:pt>
              </c:numCache>
            </c:numRef>
          </c:cat>
          <c:val>
            <c:numRef>
              <c:f>'Profit &amp; Loss'!$B$4:$K$4</c:f>
              <c:numCache>
                <c:formatCode>_ * #,##0.00_ ;_ * \-#,##0.00_ ;_ * "-"??_ ;_ @_ </c:formatCode>
                <c:ptCount val="10"/>
                <c:pt idx="0">
                  <c:v>9054.09</c:v>
                </c:pt>
                <c:pt idx="1">
                  <c:v>9913.99</c:v>
                </c:pt>
                <c:pt idx="2">
                  <c:v>11054.67</c:v>
                </c:pt>
                <c:pt idx="3">
                  <c:v>11599.55</c:v>
                </c:pt>
                <c:pt idx="4">
                  <c:v>13136.14</c:v>
                </c:pt>
                <c:pt idx="5">
                  <c:v>14136.26</c:v>
                </c:pt>
                <c:pt idx="6">
                  <c:v>16300.55</c:v>
                </c:pt>
                <c:pt idx="7">
                  <c:v>16769.27</c:v>
                </c:pt>
                <c:pt idx="8">
                  <c:v>17942.669999999998</c:v>
                </c:pt>
                <c:pt idx="9" formatCode="&quot;Rs.&quot;\ #,##0.00\ &quot;Cr&quot;">
                  <c:v>19151.59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7C-4BAB-924E-5C0FA7BDD3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8"/>
        <c:overlap val="-27"/>
        <c:axId val="952186847"/>
        <c:axId val="952185407"/>
      </c:barChart>
      <c:lineChart>
        <c:grouping val="standard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>
              <a:outerShdw blurRad="50800" dir="5400000" algn="ctr" rotWithShape="0">
                <a:srgbClr val="000000">
                  <a:alpha val="43137"/>
                </a:srgbClr>
              </a:outerShdw>
            </a:effectLst>
          </c:spPr>
          <c:marker>
            <c:symbol val="circle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>
                <a:outerShdw blurRad="50800" dir="5400000" algn="ctr" rotWithShape="0">
                  <a:srgbClr val="000000">
                    <a:alpha val="43137"/>
                  </a:srgbClr>
                </a:outerShdw>
              </a:effectLst>
            </c:spPr>
          </c:marker>
          <c:dLbls>
            <c:delete val="1"/>
          </c:dLbls>
          <c:cat>
            <c:numRef>
              <c:f>'Profit &amp; Loss'!$B$3:$K$3</c:f>
              <c:numCache>
                <c:formatCode>[$-409]mmm\-yy;@</c:formatCode>
                <c:ptCount val="10"/>
                <c:pt idx="0">
                  <c:v>42825</c:v>
                </c:pt>
                <c:pt idx="1">
                  <c:v>43190</c:v>
                </c:pt>
                <c:pt idx="2">
                  <c:v>43555</c:v>
                </c:pt>
                <c:pt idx="3">
                  <c:v>43921</c:v>
                </c:pt>
                <c:pt idx="4">
                  <c:v>44286</c:v>
                </c:pt>
                <c:pt idx="5">
                  <c:v>44651</c:v>
                </c:pt>
                <c:pt idx="6">
                  <c:v>45016</c:v>
                </c:pt>
                <c:pt idx="7">
                  <c:v>45382</c:v>
                </c:pt>
                <c:pt idx="8">
                  <c:v>45747</c:v>
                </c:pt>
                <c:pt idx="9">
                  <c:v>46112</c:v>
                </c:pt>
              </c:numCache>
            </c:numRef>
          </c:cat>
          <c:val>
            <c:numRef>
              <c:f>'Profit &amp; Loss'!$B$16:$K$16</c:f>
              <c:numCache>
                <c:formatCode>0%</c:formatCode>
                <c:ptCount val="10"/>
                <c:pt idx="0">
                  <c:v>0.14117155893082578</c:v>
                </c:pt>
                <c:pt idx="1">
                  <c:v>0.15144961816584437</c:v>
                </c:pt>
                <c:pt idx="2">
                  <c:v>0.15671657317676607</c:v>
                </c:pt>
                <c:pt idx="3">
                  <c:v>0.15890099184882175</c:v>
                </c:pt>
                <c:pt idx="4">
                  <c:v>0.19102186791553691</c:v>
                </c:pt>
                <c:pt idx="5">
                  <c:v>0.15572082007546559</c:v>
                </c:pt>
                <c:pt idx="6">
                  <c:v>0.17366960010551791</c:v>
                </c:pt>
                <c:pt idx="7">
                  <c:v>0.18883648483207663</c:v>
                </c:pt>
                <c:pt idx="8">
                  <c:v>0.1770310661679671</c:v>
                </c:pt>
                <c:pt idx="9">
                  <c:v>0.1835012132151953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7C-4BAB-924E-5C0FA7BDD3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2191647"/>
        <c:axId val="952188287"/>
      </c:lineChart>
      <c:dateAx>
        <c:axId val="952186847"/>
        <c:scaling>
          <c:orientation val="minMax"/>
        </c:scaling>
        <c:delete val="0"/>
        <c:axPos val="b"/>
        <c:numFmt formatCode="[$-409]&quot;FY&quot;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185407"/>
        <c:crosses val="autoZero"/>
        <c:auto val="1"/>
        <c:lblOffset val="100"/>
        <c:baseTimeUnit val="years"/>
      </c:dateAx>
      <c:valAx>
        <c:axId val="95218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>
                    <a:solidFill>
                      <a:sysClr val="windowText" lastClr="000000"/>
                    </a:solidFill>
                  </a:rPr>
                  <a:t>Sales (Cr)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* #,##0_ ;_ * \-#,##0_ ;_ * &quot;-&quot;??_ ;_ @_ 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186847"/>
        <c:crosses val="autoZero"/>
        <c:crossBetween val="between"/>
      </c:valAx>
      <c:valAx>
        <c:axId val="95218828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>
                    <a:solidFill>
                      <a:sysClr val="windowText" lastClr="000000"/>
                    </a:solidFill>
                  </a:rPr>
                  <a:t>Operating Profit Margin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191647"/>
        <c:crosses val="max"/>
        <c:crossBetween val="between"/>
      </c:valAx>
      <c:dateAx>
        <c:axId val="952191647"/>
        <c:scaling>
          <c:orientation val="minMax"/>
        </c:scaling>
        <c:delete val="1"/>
        <c:axPos val="b"/>
        <c:numFmt formatCode="[$-409]mmm\-yy;@" sourceLinked="1"/>
        <c:majorTickMark val="out"/>
        <c:minorTickMark val="none"/>
        <c:tickLblPos val="nextTo"/>
        <c:crossAx val="952188287"/>
        <c:crosses val="autoZero"/>
        <c:auto val="1"/>
        <c:lblOffset val="100"/>
        <c:baseTimeUnit val="years"/>
      </c:date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1">
          <a:alpha val="96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900" b="1">
                <a:solidFill>
                  <a:sysClr val="windowText" lastClr="000000"/>
                </a:solidFill>
              </a:rPr>
              <a:t>Budget vs Actual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247874867643165E-2"/>
          <c:y val="0.14351093786549579"/>
          <c:w val="0.76218039433160867"/>
          <c:h val="0.681129659819972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'Budget vs Actual'!$K$3</c:f>
              <c:strCache>
                <c:ptCount val="1"/>
                <c:pt idx="0">
                  <c:v>Budget </c:v>
                </c:pt>
              </c:strCache>
            </c:strRef>
          </c:tx>
          <c:spPr>
            <a:solidFill>
              <a:srgbClr val="94A3B8"/>
            </a:solidFill>
            <a:ln>
              <a:noFill/>
            </a:ln>
            <a:effectLst/>
          </c:spPr>
          <c:invertIfNegative val="0"/>
          <c:cat>
            <c:numRef>
              <c:f>'Budget vs Actual'!$J$4:$J$9</c:f>
              <c:numCache>
                <c:formatCode>[$-409]mmm\-yy;@</c:formatCode>
                <c:ptCount val="6"/>
                <c:pt idx="0">
                  <c:v>45747</c:v>
                </c:pt>
                <c:pt idx="1">
                  <c:v>45838</c:v>
                </c:pt>
                <c:pt idx="2">
                  <c:v>45930</c:v>
                </c:pt>
                <c:pt idx="3">
                  <c:v>46022</c:v>
                </c:pt>
                <c:pt idx="4">
                  <c:v>46112</c:v>
                </c:pt>
                <c:pt idx="5">
                  <c:v>46203</c:v>
                </c:pt>
              </c:numCache>
            </c:numRef>
          </c:cat>
          <c:val>
            <c:numRef>
              <c:f>'Budget vs Actual'!$K$4:$K$9</c:f>
              <c:numCache>
                <c:formatCode>General</c:formatCode>
                <c:ptCount val="6"/>
                <c:pt idx="0">
                  <c:v>3285.71</c:v>
                </c:pt>
                <c:pt idx="1">
                  <c:v>3497.28</c:v>
                </c:pt>
                <c:pt idx="2">
                  <c:v>3887.56</c:v>
                </c:pt>
                <c:pt idx="3">
                  <c:v>3749.75</c:v>
                </c:pt>
                <c:pt idx="4">
                  <c:v>3631.67</c:v>
                </c:pt>
                <c:pt idx="5">
                  <c:v>3870.02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F7-4A60-B5FC-CC8AE9320338}"/>
            </c:ext>
          </c:extLst>
        </c:ser>
        <c:ser>
          <c:idx val="1"/>
          <c:order val="1"/>
          <c:tx>
            <c:strRef>
              <c:f>'Budget vs Actual'!$L$3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0D9488"/>
            </a:solidFill>
            <a:ln>
              <a:noFill/>
            </a:ln>
            <a:effectLst/>
          </c:spPr>
          <c:invertIfNegative val="0"/>
          <c:cat>
            <c:numRef>
              <c:f>'Budget vs Actual'!$J$4:$J$9</c:f>
              <c:numCache>
                <c:formatCode>[$-409]mmm\-yy;@</c:formatCode>
                <c:ptCount val="6"/>
                <c:pt idx="0">
                  <c:v>45747</c:v>
                </c:pt>
                <c:pt idx="1">
                  <c:v>45838</c:v>
                </c:pt>
                <c:pt idx="2">
                  <c:v>45930</c:v>
                </c:pt>
                <c:pt idx="3">
                  <c:v>46022</c:v>
                </c:pt>
                <c:pt idx="4">
                  <c:v>46112</c:v>
                </c:pt>
                <c:pt idx="5">
                  <c:v>46203</c:v>
                </c:pt>
              </c:numCache>
            </c:numRef>
          </c:cat>
          <c:val>
            <c:numRef>
              <c:f>'Budget vs Actual'!$L$4:$L$9</c:f>
              <c:numCache>
                <c:formatCode>General</c:formatCode>
                <c:ptCount val="6"/>
                <c:pt idx="0">
                  <c:v>3631.67</c:v>
                </c:pt>
                <c:pt idx="1">
                  <c:v>3870.02</c:v>
                </c:pt>
                <c:pt idx="2">
                  <c:v>3889.39</c:v>
                </c:pt>
                <c:pt idx="3">
                  <c:v>3992.49</c:v>
                </c:pt>
                <c:pt idx="4">
                  <c:v>3885.35</c:v>
                </c:pt>
                <c:pt idx="5">
                  <c:v>4161.6499999999996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F7-4A60-B5FC-CC8AE9320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8"/>
        <c:axId val="1041986367"/>
        <c:axId val="1041988767"/>
      </c:barChart>
      <c:lineChart>
        <c:grouping val="standard"/>
        <c:varyColors val="0"/>
        <c:ser>
          <c:idx val="2"/>
          <c:order val="2"/>
          <c:tx>
            <c:strRef>
              <c:f>'Budget vs Actual'!$M$3</c:f>
              <c:strCache>
                <c:ptCount val="1"/>
                <c:pt idx="0">
                  <c:v> Varience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05E53559-1ADD-4AAD-8C7F-A06BEE1EC3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3F7-4A60-B5FC-CC8AE932033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23E1C9B-D41A-4BBC-B8FA-F9EE891A63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3F7-4A60-B5FC-CC8AE932033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7ED31AE-3F37-41BA-B5F4-0466227548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3F7-4A60-B5FC-CC8AE932033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1F0092D-A27F-4A81-B0F6-CC8775D46E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3F7-4A60-B5FC-CC8AE932033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A312143-5D59-44A9-84F1-DE3B6E1E4C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3F7-4A60-B5FC-CC8AE932033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0FFDF68-6736-4FD9-91CB-698A70E7CB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3F7-4A60-B5FC-CC8AE93203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D9488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'Budget vs Actual'!$J$4:$J$9</c:f>
              <c:numCache>
                <c:formatCode>[$-409]mmm\-yy;@</c:formatCode>
                <c:ptCount val="6"/>
                <c:pt idx="0">
                  <c:v>45747</c:v>
                </c:pt>
                <c:pt idx="1">
                  <c:v>45838</c:v>
                </c:pt>
                <c:pt idx="2">
                  <c:v>45930</c:v>
                </c:pt>
                <c:pt idx="3">
                  <c:v>46022</c:v>
                </c:pt>
                <c:pt idx="4">
                  <c:v>46112</c:v>
                </c:pt>
                <c:pt idx="5">
                  <c:v>46203</c:v>
                </c:pt>
              </c:numCache>
            </c:numRef>
          </c:cat>
          <c:val>
            <c:numRef>
              <c:f>'Budget vs Actual'!$M$4:$M$9</c:f>
              <c:numCache>
                <c:formatCode>General</c:formatCode>
                <c:ptCount val="6"/>
                <c:pt idx="0">
                  <c:v>3931.67</c:v>
                </c:pt>
                <c:pt idx="1">
                  <c:v>4170.0200000000004</c:v>
                </c:pt>
                <c:pt idx="2">
                  <c:v>4189.3899999999994</c:v>
                </c:pt>
                <c:pt idx="3">
                  <c:v>4292.49</c:v>
                </c:pt>
                <c:pt idx="4">
                  <c:v>4185.3500000000004</c:v>
                </c:pt>
                <c:pt idx="5">
                  <c:v>4461.6499999999996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'Budget vs Actual'!$N$4:$N$9</c15:f>
                <c15:dlblRangeCache>
                  <c:ptCount val="6"/>
                  <c:pt idx="0">
                    <c:v>+ 11%</c:v>
                  </c:pt>
                  <c:pt idx="1">
                    <c:v>+ 11%</c:v>
                  </c:pt>
                  <c:pt idx="2">
                    <c:v>+ 0%</c:v>
                  </c:pt>
                  <c:pt idx="3">
                    <c:v>+ 6%</c:v>
                  </c:pt>
                  <c:pt idx="4">
                    <c:v>+ 7%</c:v>
                  </c:pt>
                  <c:pt idx="5">
                    <c:v>+ 8%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D3F7-4A60-B5FC-CC8AE9320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1986367"/>
        <c:axId val="1041988767"/>
      </c:lineChart>
      <c:catAx>
        <c:axId val="1041986367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988767"/>
        <c:crosses val="autoZero"/>
        <c:auto val="0"/>
        <c:lblAlgn val="ctr"/>
        <c:lblOffset val="100"/>
        <c:noMultiLvlLbl val="0"/>
      </c:catAx>
      <c:valAx>
        <c:axId val="104198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986367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900" b="1">
                <a:solidFill>
                  <a:sysClr val="windowText" lastClr="000000"/>
                </a:solidFill>
              </a:rPr>
              <a:t>4- Quarter Rolling Sales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Forecast!$L$1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rgbClr val="1E3A8A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1E3A8A"/>
              </a:solidFill>
              <a:ln w="9525">
                <a:solidFill>
                  <a:srgbClr val="6D28D9"/>
                </a:solidFill>
              </a:ln>
              <a:effectLst/>
            </c:spPr>
          </c:marker>
          <c:cat>
            <c:strRef>
              <c:f>Forecast!$K$2:$K$9</c:f>
              <c:strCache>
                <c:ptCount val="8"/>
                <c:pt idx="0">
                  <c:v>Q3 FY2025</c:v>
                </c:pt>
                <c:pt idx="1">
                  <c:v>Q4 FY2025</c:v>
                </c:pt>
                <c:pt idx="2">
                  <c:v>Q1 FY2026</c:v>
                </c:pt>
                <c:pt idx="3">
                  <c:v>Q2 FY2026</c:v>
                </c:pt>
                <c:pt idx="4">
                  <c:v>Q3 FY2026</c:v>
                </c:pt>
                <c:pt idx="5">
                  <c:v>Q4 FY2026</c:v>
                </c:pt>
                <c:pt idx="6">
                  <c:v>Q1 FY2027</c:v>
                </c:pt>
                <c:pt idx="7">
                  <c:v>Q2 FY2027</c:v>
                </c:pt>
              </c:strCache>
            </c:strRef>
          </c:cat>
          <c:val>
            <c:numRef>
              <c:f>Forecast!$L$2:$L$9</c:f>
              <c:numCache>
                <c:formatCode>General</c:formatCode>
                <c:ptCount val="8"/>
                <c:pt idx="0">
                  <c:v>4840.63</c:v>
                </c:pt>
                <c:pt idx="1">
                  <c:v>4969.82</c:v>
                </c:pt>
                <c:pt idx="2">
                  <c:v>4718.92</c:v>
                </c:pt>
                <c:pt idx="3">
                  <c:v>4999.97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2E-4BE7-AB47-BA3DAD6134A6}"/>
            </c:ext>
          </c:extLst>
        </c:ser>
        <c:ser>
          <c:idx val="1"/>
          <c:order val="1"/>
          <c:tx>
            <c:strRef>
              <c:f>Forecast!$M$1</c:f>
              <c:strCache>
                <c:ptCount val="1"/>
                <c:pt idx="0">
                  <c:v>4-QTR Forecast</c:v>
                </c:pt>
              </c:strCache>
            </c:strRef>
          </c:tx>
          <c:spPr>
            <a:ln w="28575" cap="rnd">
              <a:solidFill>
                <a:srgbClr val="6D28D9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6D28D9"/>
              </a:solidFill>
              <a:ln w="9525">
                <a:solidFill>
                  <a:srgbClr val="6D28D9"/>
                </a:solidFill>
              </a:ln>
              <a:effectLst/>
            </c:spPr>
          </c:marker>
          <c:cat>
            <c:strRef>
              <c:f>Forecast!$K$2:$K$9</c:f>
              <c:strCache>
                <c:ptCount val="8"/>
                <c:pt idx="0">
                  <c:v>Q3 FY2025</c:v>
                </c:pt>
                <c:pt idx="1">
                  <c:v>Q4 FY2025</c:v>
                </c:pt>
                <c:pt idx="2">
                  <c:v>Q1 FY2026</c:v>
                </c:pt>
                <c:pt idx="3">
                  <c:v>Q2 FY2026</c:v>
                </c:pt>
                <c:pt idx="4">
                  <c:v>Q3 FY2026</c:v>
                </c:pt>
                <c:pt idx="5">
                  <c:v>Q4 FY2026</c:v>
                </c:pt>
                <c:pt idx="6">
                  <c:v>Q1 FY2027</c:v>
                </c:pt>
                <c:pt idx="7">
                  <c:v>Q2 FY2027</c:v>
                </c:pt>
              </c:strCache>
            </c:strRef>
          </c:cat>
          <c:val>
            <c:numRef>
              <c:f>Forecast!$M$2:$M$9</c:f>
              <c:numCache>
                <c:formatCode>General</c:formatCode>
                <c:ptCount val="8"/>
                <c:pt idx="3">
                  <c:v>4999.97</c:v>
                </c:pt>
                <c:pt idx="4" formatCode="0.00">
                  <c:v>5103.7371954254686</c:v>
                </c:pt>
                <c:pt idx="5" formatCode="0.00">
                  <c:v>5209.6579299414652</c:v>
                </c:pt>
                <c:pt idx="6" formatCode="0.00">
                  <c:v>5317.7768971584837</c:v>
                </c:pt>
                <c:pt idx="7" formatCode="0.00">
                  <c:v>5428.1397182387072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2E-4BE7-AB47-BA3DAD613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2868927"/>
        <c:axId val="1272872287"/>
      </c:lineChart>
      <c:catAx>
        <c:axId val="1272868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6D28D9">
                <a:alpha val="88000"/>
              </a:srgbClr>
            </a:solidFill>
            <a:round/>
          </a:ln>
          <a:effectLst/>
        </c:spPr>
        <c:txPr>
          <a:bodyPr rot="-1500000" spcFirstLastPara="1" vertOverflow="ellipsis" wrap="square" anchor="ctr" anchorCtr="1"/>
          <a:lstStyle/>
          <a:p>
            <a:pPr>
              <a:defRPr sz="800" b="0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872287"/>
        <c:crosses val="autoZero"/>
        <c:auto val="1"/>
        <c:lblAlgn val="ctr"/>
        <c:lblOffset val="100"/>
        <c:noMultiLvlLbl val="0"/>
      </c:catAx>
      <c:valAx>
        <c:axId val="127287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868927"/>
        <c:crosses val="autoZero"/>
        <c:crossBetween val="between"/>
        <c:majorUnit val="4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9101216259857927"/>
          <c:y val="0.62572731163980844"/>
          <c:w val="0.47320144356955379"/>
          <c:h val="7.8125546806649182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900" b="1">
                <a:solidFill>
                  <a:sysClr val="windowText" lastClr="000000"/>
                </a:solidFill>
              </a:rPr>
              <a:t>Operating Cash Flow vs. Investing Cash Flow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70214114182228"/>
          <c:y val="0.1492311780919858"/>
          <c:w val="0.70272237703826113"/>
          <c:h val="0.67754400323615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Model_Data!$N$8</c:f>
              <c:strCache>
                <c:ptCount val="1"/>
                <c:pt idx="0">
                  <c:v>Operating Cash flow (Cr)</c:v>
                </c:pt>
              </c:strCache>
            </c:strRef>
          </c:tx>
          <c:spPr>
            <a:solidFill>
              <a:srgbClr val="4D7C0F"/>
            </a:solidFill>
            <a:ln>
              <a:noFill/>
            </a:ln>
            <a:effectLst/>
          </c:spPr>
          <c:invertIfNegative val="0"/>
          <c:cat>
            <c:numRef>
              <c:f>Model_Data!$O$7:$S$7</c:f>
              <c:numCache>
                <c:formatCode>[$-409]mmm\-yy;@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Model_Data!$O$8:$S$8</c:f>
              <c:numCache>
                <c:formatCode>General</c:formatCode>
                <c:ptCount val="5"/>
                <c:pt idx="0">
                  <c:v>1299.52</c:v>
                </c:pt>
                <c:pt idx="1">
                  <c:v>2526.21</c:v>
                </c:pt>
                <c:pt idx="2">
                  <c:v>2572.98</c:v>
                </c:pt>
                <c:pt idx="3">
                  <c:v>2490.62</c:v>
                </c:pt>
                <c:pt idx="4">
                  <c:v>2611.6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A9-4D78-A34F-2CA1960A1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5"/>
        <c:overlap val="-27"/>
        <c:axId val="952188287"/>
        <c:axId val="952187327"/>
      </c:barChart>
      <c:lineChart>
        <c:grouping val="standard"/>
        <c:varyColors val="0"/>
        <c:ser>
          <c:idx val="1"/>
          <c:order val="1"/>
          <c:tx>
            <c:strRef>
              <c:f>Model_Data!$N$9</c:f>
              <c:strCache>
                <c:ptCount val="1"/>
                <c:pt idx="0">
                  <c:v>Investing Cash flow (Cr)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Model_Data!$O$7:$S$7</c:f>
              <c:numCache>
                <c:formatCode>[$-409]mmm\-yy;@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Model_Data!$O$9:$S$9</c:f>
              <c:numCache>
                <c:formatCode>General</c:formatCode>
                <c:ptCount val="5"/>
                <c:pt idx="0">
                  <c:v>914.19</c:v>
                </c:pt>
                <c:pt idx="1">
                  <c:v>-1507</c:v>
                </c:pt>
                <c:pt idx="2">
                  <c:v>485.44</c:v>
                </c:pt>
                <c:pt idx="3">
                  <c:v>69.069999999999993</c:v>
                </c:pt>
                <c:pt idx="4">
                  <c:v>-741.38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A9-4D78-A34F-2CA1960A1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2190207"/>
        <c:axId val="952184927"/>
      </c:lineChart>
      <c:catAx>
        <c:axId val="952188287"/>
        <c:scaling>
          <c:orientation val="minMax"/>
        </c:scaling>
        <c:delete val="0"/>
        <c:axPos val="b"/>
        <c:numFmt formatCode="[$-409]&quot;FY &quot;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187327"/>
        <c:crosses val="autoZero"/>
        <c:auto val="0"/>
        <c:lblAlgn val="ctr"/>
        <c:lblOffset val="100"/>
        <c:noMultiLvlLbl val="0"/>
      </c:catAx>
      <c:valAx>
        <c:axId val="95218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Model_Data!$N$8</c:f>
              <c:strCache>
                <c:ptCount val="1"/>
                <c:pt idx="0">
                  <c:v>Operating Cash flow (Cr)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rgbClr val="4D7C0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D7C0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188287"/>
        <c:crosses val="autoZero"/>
        <c:crossBetween val="between"/>
        <c:majorUnit val="750"/>
      </c:valAx>
      <c:valAx>
        <c:axId val="952184927"/>
        <c:scaling>
          <c:orientation val="minMax"/>
        </c:scaling>
        <c:delete val="0"/>
        <c:axPos val="r"/>
        <c:title>
          <c:tx>
            <c:strRef>
              <c:f>Model_Data!$N$9</c:f>
              <c:strCache>
                <c:ptCount val="1"/>
                <c:pt idx="0">
                  <c:v>Investing Cash flow (Cr)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7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190207"/>
        <c:crosses val="max"/>
        <c:crossBetween val="between"/>
        <c:majorUnit val="750"/>
      </c:valAx>
      <c:dateAx>
        <c:axId val="952190207"/>
        <c:scaling>
          <c:orientation val="minMax"/>
        </c:scaling>
        <c:delete val="1"/>
        <c:axPos val="b"/>
        <c:numFmt formatCode="[$-409]mmm\-yy;@" sourceLinked="1"/>
        <c:majorTickMark val="out"/>
        <c:minorTickMark val="none"/>
        <c:tickLblPos val="nextTo"/>
        <c:crossAx val="952184927"/>
        <c:crosses val="autoZero"/>
        <c:auto val="1"/>
        <c:lblOffset val="100"/>
        <c:baseTimeUnit val="years"/>
      </c:date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[Britannia Inds_raw.xlsx]Model_Data!PivotTable78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&amp; Operating Profit - 10 Quarters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3"/>
            </a:solidFill>
            <a:ln w="9525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0070C0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1"/>
            </a:solidFill>
            <a:ln w="9525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0070C0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1"/>
            </a:solidFill>
            <a:ln w="9525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3"/>
            </a:solidFill>
            <a:ln w="9525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0070C0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1"/>
            </a:solidFill>
            <a:ln w="9525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3"/>
            </a:solidFill>
            <a:ln w="9525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1"/>
          <c:order val="1"/>
          <c:tx>
            <c:strRef>
              <c:f>Model_Data!$G$5:$G$6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Model_Data!$E$7:$E$17</c:f>
              <c:strCache>
                <c:ptCount val="10"/>
                <c:pt idx="0">
                  <c:v>Mar-24</c:v>
                </c:pt>
                <c:pt idx="1">
                  <c:v>Jun-24</c:v>
                </c:pt>
                <c:pt idx="2">
                  <c:v>Sep-24</c:v>
                </c:pt>
                <c:pt idx="3">
                  <c:v>Dec-24</c:v>
                </c:pt>
                <c:pt idx="4">
                  <c:v>Mar-25</c:v>
                </c:pt>
                <c:pt idx="5">
                  <c:v>Jun-25</c:v>
                </c:pt>
                <c:pt idx="6">
                  <c:v>Sep-25</c:v>
                </c:pt>
                <c:pt idx="7">
                  <c:v>Dec-25</c:v>
                </c:pt>
                <c:pt idx="8">
                  <c:v>Mar-26</c:v>
                </c:pt>
                <c:pt idx="9">
                  <c:v>Jun-26</c:v>
                </c:pt>
              </c:strCache>
            </c:strRef>
          </c:cat>
          <c:val>
            <c:numRef>
              <c:f>Model_Data!$G$7:$G$17</c:f>
              <c:numCache>
                <c:formatCode>General</c:formatCode>
                <c:ptCount val="10"/>
                <c:pt idx="0">
                  <c:v>4069.36</c:v>
                </c:pt>
                <c:pt idx="1">
                  <c:v>4250.29</c:v>
                </c:pt>
                <c:pt idx="2">
                  <c:v>4667.57</c:v>
                </c:pt>
                <c:pt idx="3">
                  <c:v>4592.6099999999997</c:v>
                </c:pt>
                <c:pt idx="4">
                  <c:v>4432.1899999999996</c:v>
                </c:pt>
                <c:pt idx="5">
                  <c:v>4622.22</c:v>
                </c:pt>
                <c:pt idx="6">
                  <c:v>4840.63</c:v>
                </c:pt>
                <c:pt idx="7">
                  <c:v>4969.82</c:v>
                </c:pt>
                <c:pt idx="8">
                  <c:v>4718.92</c:v>
                </c:pt>
                <c:pt idx="9">
                  <c:v>4999.97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76-4768-8BA1-E431578FC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05887"/>
        <c:axId val="160004927"/>
      </c:lineChart>
      <c:lineChart>
        <c:grouping val="standard"/>
        <c:varyColors val="0"/>
        <c:ser>
          <c:idx val="0"/>
          <c:order val="0"/>
          <c:tx>
            <c:strRef>
              <c:f>Model_Data!$F$5:$F$6</c:f>
              <c:strCache>
                <c:ptCount val="1"/>
                <c:pt idx="0">
                  <c:v>Operating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Model_Data!$E$7:$E$17</c:f>
              <c:strCache>
                <c:ptCount val="10"/>
                <c:pt idx="0">
                  <c:v>Mar-24</c:v>
                </c:pt>
                <c:pt idx="1">
                  <c:v>Jun-24</c:v>
                </c:pt>
                <c:pt idx="2">
                  <c:v>Sep-24</c:v>
                </c:pt>
                <c:pt idx="3">
                  <c:v>Dec-24</c:v>
                </c:pt>
                <c:pt idx="4">
                  <c:v>Mar-25</c:v>
                </c:pt>
                <c:pt idx="5">
                  <c:v>Jun-25</c:v>
                </c:pt>
                <c:pt idx="6">
                  <c:v>Sep-25</c:v>
                </c:pt>
                <c:pt idx="7">
                  <c:v>Dec-25</c:v>
                </c:pt>
                <c:pt idx="8">
                  <c:v>Mar-26</c:v>
                </c:pt>
                <c:pt idx="9">
                  <c:v>Jun-26</c:v>
                </c:pt>
              </c:strCache>
            </c:strRef>
          </c:cat>
          <c:val>
            <c:numRef>
              <c:f>Model_Data!$F$7:$F$17</c:f>
              <c:numCache>
                <c:formatCode>General</c:formatCode>
                <c:ptCount val="10"/>
                <c:pt idx="0">
                  <c:v>783.65</c:v>
                </c:pt>
                <c:pt idx="1">
                  <c:v>753.01</c:v>
                </c:pt>
                <c:pt idx="2">
                  <c:v>780.01</c:v>
                </c:pt>
                <c:pt idx="3">
                  <c:v>842.86</c:v>
                </c:pt>
                <c:pt idx="4">
                  <c:v>800.52</c:v>
                </c:pt>
                <c:pt idx="5">
                  <c:v>752.2</c:v>
                </c:pt>
                <c:pt idx="6">
                  <c:v>951.24</c:v>
                </c:pt>
                <c:pt idx="7">
                  <c:v>977.33</c:v>
                </c:pt>
                <c:pt idx="8">
                  <c:v>833.57</c:v>
                </c:pt>
                <c:pt idx="9">
                  <c:v>838.32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76-4768-8BA1-E431578FC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64511"/>
        <c:axId val="551863071"/>
      </c:lineChart>
      <c:catAx>
        <c:axId val="16000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04927"/>
        <c:crosses val="autoZero"/>
        <c:auto val="1"/>
        <c:lblAlgn val="ctr"/>
        <c:lblOffset val="100"/>
        <c:noMultiLvlLbl val="0"/>
      </c:catAx>
      <c:valAx>
        <c:axId val="160004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05887"/>
        <c:crosses val="autoZero"/>
        <c:crossBetween val="between"/>
      </c:valAx>
      <c:valAx>
        <c:axId val="55186307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864511"/>
        <c:crosses val="max"/>
        <c:crossBetween val="between"/>
      </c:valAx>
      <c:catAx>
        <c:axId val="5518645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18630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0</xdr:rowOff>
    </xdr:from>
    <xdr:to>
      <xdr:col>15</xdr:col>
      <xdr:colOff>561975</xdr:colOff>
      <xdr:row>4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65AA558-8E90-A8E7-26DE-EF454BA905EF}"/>
            </a:ext>
          </a:extLst>
        </xdr:cNvPr>
        <xdr:cNvSpPr/>
      </xdr:nvSpPr>
      <xdr:spPr>
        <a:xfrm>
          <a:off x="195646" y="186121"/>
          <a:ext cx="8676070" cy="577412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BRITANNIA</a:t>
          </a:r>
          <a:r>
            <a:rPr lang="en-US" sz="16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 INDUSTRIES LIMITED -- MASTER FINANCIAL EXECUTIVE DASHBOARD</a:t>
          </a:r>
          <a:endParaRPr lang="en-US" sz="16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0</xdr:colOff>
      <xdr:row>5</xdr:row>
      <xdr:rowOff>16852</xdr:rowOff>
    </xdr:from>
    <xdr:to>
      <xdr:col>3</xdr:col>
      <xdr:colOff>495300</xdr:colOff>
      <xdr:row>8</xdr:row>
      <xdr:rowOff>204107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0BF485B-F4BD-3F37-EBAD-F5FAE62DBA97}"/>
            </a:ext>
          </a:extLst>
        </xdr:cNvPr>
        <xdr:cNvSpPr/>
      </xdr:nvSpPr>
      <xdr:spPr>
        <a:xfrm>
          <a:off x="186121" y="947455"/>
          <a:ext cx="1655817" cy="745618"/>
        </a:xfrm>
        <a:prstGeom prst="roundRect">
          <a:avLst>
            <a:gd name="adj" fmla="val 5414"/>
          </a:avLst>
        </a:prstGeom>
        <a:ln w="12700">
          <a:solidFill>
            <a:srgbClr val="00206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800" b="1"/>
            <a:t>REVENUE</a:t>
          </a:r>
          <a:r>
            <a:rPr lang="en-US" sz="800" b="1" baseline="0"/>
            <a:t> (</a:t>
          </a:r>
          <a:r>
            <a:rPr lang="en-US" sz="800" b="1" baseline="0">
              <a:latin typeface="Segoe UI" panose="020B0502040204020203" pitchFamily="34" charset="0"/>
              <a:cs typeface="Segoe UI" panose="020B0502040204020203" pitchFamily="34" charset="0"/>
            </a:rPr>
            <a:t>FY2026</a:t>
          </a:r>
          <a:r>
            <a:rPr lang="en-US" sz="800" b="1" baseline="0"/>
            <a:t>)</a:t>
          </a:r>
        </a:p>
        <a:p>
          <a:pPr algn="ctr"/>
          <a:endParaRPr lang="en-US" sz="800" b="1" baseline="0"/>
        </a:p>
        <a:p>
          <a:pPr algn="ctr"/>
          <a:endParaRPr lang="en-US" sz="800" b="1" baseline="0"/>
        </a:p>
        <a:p>
          <a:pPr algn="ctr"/>
          <a:endParaRPr lang="en-US" sz="8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4</xdr:col>
      <xdr:colOff>19050</xdr:colOff>
      <xdr:row>5</xdr:row>
      <xdr:rowOff>9525</xdr:rowOff>
    </xdr:from>
    <xdr:to>
      <xdr:col>6</xdr:col>
      <xdr:colOff>514350</xdr:colOff>
      <xdr:row>8</xdr:row>
      <xdr:rowOff>189099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84A30018-FCDD-4213-B047-05A98D7F73B2}"/>
            </a:ext>
          </a:extLst>
        </xdr:cNvPr>
        <xdr:cNvSpPr/>
      </xdr:nvSpPr>
      <xdr:spPr>
        <a:xfrm>
          <a:off x="1945947" y="940128"/>
          <a:ext cx="1655817" cy="737937"/>
        </a:xfrm>
        <a:prstGeom prst="roundRect">
          <a:avLst>
            <a:gd name="adj" fmla="val 8228"/>
          </a:avLst>
        </a:prstGeom>
        <a:ln w="12700">
          <a:solidFill>
            <a:srgbClr val="00B05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700" b="1">
              <a:latin typeface="Segoe UI" panose="020B0502040204020203" pitchFamily="34" charset="0"/>
              <a:cs typeface="Segoe UI" panose="020B0502040204020203" pitchFamily="34" charset="0"/>
            </a:rPr>
            <a:t>OPERATING PROFIT</a:t>
          </a:r>
          <a:r>
            <a:rPr lang="en-US" sz="700" b="1" baseline="0">
              <a:latin typeface="Segoe UI" panose="020B0502040204020203" pitchFamily="34" charset="0"/>
              <a:cs typeface="Segoe UI" panose="020B0502040204020203" pitchFamily="34" charset="0"/>
            </a:rPr>
            <a:t> (</a:t>
          </a:r>
          <a:r>
            <a:rPr lang="en-US" sz="700" b="1">
              <a:solidFill>
                <a:schemeClr val="dk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FY</a:t>
          </a:r>
          <a:r>
            <a:rPr lang="en-US" sz="700" b="1" baseline="0">
              <a:latin typeface="Segoe UI" panose="020B0502040204020203" pitchFamily="34" charset="0"/>
              <a:cs typeface="Segoe UI" panose="020B0502040204020203" pitchFamily="34" charset="0"/>
            </a:rPr>
            <a:t> 2026)</a:t>
          </a:r>
          <a:endParaRPr lang="en-US" sz="7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7</xdr:col>
      <xdr:colOff>47625</xdr:colOff>
      <xdr:row>5</xdr:row>
      <xdr:rowOff>9525</xdr:rowOff>
    </xdr:from>
    <xdr:to>
      <xdr:col>9</xdr:col>
      <xdr:colOff>542925</xdr:colOff>
      <xdr:row>8</xdr:row>
      <xdr:rowOff>189099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750DA69C-B749-4BC7-B4F0-6B24793457B3}"/>
            </a:ext>
          </a:extLst>
        </xdr:cNvPr>
        <xdr:cNvSpPr/>
      </xdr:nvSpPr>
      <xdr:spPr>
        <a:xfrm>
          <a:off x="3715297" y="940128"/>
          <a:ext cx="1655818" cy="737937"/>
        </a:xfrm>
        <a:prstGeom prst="roundRect">
          <a:avLst>
            <a:gd name="adj" fmla="val 4476"/>
          </a:avLst>
        </a:prstGeom>
        <a:ln w="12700">
          <a:solidFill>
            <a:srgbClr val="FF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800" b="1">
              <a:latin typeface="Segoe UI" panose="020B0502040204020203" pitchFamily="34" charset="0"/>
              <a:cs typeface="Segoe UI" panose="020B0502040204020203" pitchFamily="34" charset="0"/>
            </a:rPr>
            <a:t>NET</a:t>
          </a:r>
          <a:r>
            <a:rPr lang="en-US" sz="800" b="1" baseline="0">
              <a:latin typeface="Segoe UI" panose="020B0502040204020203" pitchFamily="34" charset="0"/>
              <a:cs typeface="Segoe UI" panose="020B0502040204020203" pitchFamily="34" charset="0"/>
            </a:rPr>
            <a:t> PROFIT (PAT)</a:t>
          </a:r>
          <a:endParaRPr lang="en-US" sz="8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10</xdr:col>
      <xdr:colOff>76200</xdr:colOff>
      <xdr:row>5</xdr:row>
      <xdr:rowOff>9525</xdr:rowOff>
    </xdr:from>
    <xdr:to>
      <xdr:col>12</xdr:col>
      <xdr:colOff>571500</xdr:colOff>
      <xdr:row>8</xdr:row>
      <xdr:rowOff>189099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FC05896F-2A4A-48C7-B773-FD8D82CF5B02}"/>
            </a:ext>
          </a:extLst>
        </xdr:cNvPr>
        <xdr:cNvSpPr/>
      </xdr:nvSpPr>
      <xdr:spPr>
        <a:xfrm>
          <a:off x="5484648" y="940128"/>
          <a:ext cx="1655818" cy="737937"/>
        </a:xfrm>
        <a:prstGeom prst="roundRect">
          <a:avLst>
            <a:gd name="adj" fmla="val 6352"/>
          </a:avLst>
        </a:prstGeom>
        <a:ln w="12700">
          <a:solidFill>
            <a:srgbClr val="92D05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800" b="1">
              <a:latin typeface="Segoe UI" panose="020B0502040204020203" pitchFamily="34" charset="0"/>
              <a:cs typeface="Segoe UI" panose="020B0502040204020203" pitchFamily="34" charset="0"/>
            </a:rPr>
            <a:t>CFO CASH</a:t>
          </a:r>
          <a:r>
            <a:rPr lang="en-US" sz="800" b="1" baseline="0">
              <a:latin typeface="Segoe UI" panose="020B0502040204020203" pitchFamily="34" charset="0"/>
              <a:cs typeface="Segoe UI" panose="020B0502040204020203" pitchFamily="34" charset="0"/>
            </a:rPr>
            <a:t> FLOW</a:t>
          </a:r>
          <a:endParaRPr lang="en-US" sz="800" b="1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13</xdr:col>
      <xdr:colOff>76200</xdr:colOff>
      <xdr:row>5</xdr:row>
      <xdr:rowOff>9525</xdr:rowOff>
    </xdr:from>
    <xdr:to>
      <xdr:col>15</xdr:col>
      <xdr:colOff>571500</xdr:colOff>
      <xdr:row>8</xdr:row>
      <xdr:rowOff>189099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01A4E3CF-7C82-4EFA-90CC-63867A779F74}"/>
            </a:ext>
          </a:extLst>
        </xdr:cNvPr>
        <xdr:cNvSpPr/>
      </xdr:nvSpPr>
      <xdr:spPr>
        <a:xfrm>
          <a:off x="7225424" y="940128"/>
          <a:ext cx="1655817" cy="737937"/>
        </a:xfrm>
        <a:prstGeom prst="roundRect">
          <a:avLst>
            <a:gd name="adj" fmla="val 6352"/>
          </a:avLst>
        </a:prstGeom>
        <a:ln w="12700">
          <a:solidFill>
            <a:srgbClr val="7030A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800" b="1">
              <a:latin typeface="Segoe UI" panose="020B0502040204020203" pitchFamily="34" charset="0"/>
              <a:cs typeface="Segoe UI" panose="020B0502040204020203" pitchFamily="34" charset="0"/>
            </a:rPr>
            <a:t>FY 2027 FORECAST</a:t>
          </a:r>
        </a:p>
      </xdr:txBody>
    </xdr:sp>
    <xdr:clientData/>
  </xdr:twoCellAnchor>
  <xdr:twoCellAnchor>
    <xdr:from>
      <xdr:col>0</xdr:col>
      <xdr:colOff>168089</xdr:colOff>
      <xdr:row>6</xdr:row>
      <xdr:rowOff>63033</xdr:rowOff>
    </xdr:from>
    <xdr:to>
      <xdr:col>3</xdr:col>
      <xdr:colOff>490257</xdr:colOff>
      <xdr:row>7</xdr:row>
      <xdr:rowOff>91048</xdr:rowOff>
    </xdr:to>
    <xdr:sp macro="" textlink="'Profit &amp; Loss'!K4">
      <xdr:nvSpPr>
        <xdr:cNvPr id="15" name="TextBox 14">
          <a:extLst>
            <a:ext uri="{FF2B5EF4-FFF2-40B4-BE49-F238E27FC236}">
              <a16:creationId xmlns:a16="http://schemas.microsoft.com/office/drawing/2014/main" id="{5622D885-4FF9-50C8-B6FE-E85D3C655A8A}"/>
            </a:ext>
          </a:extLst>
        </xdr:cNvPr>
        <xdr:cNvSpPr txBox="1"/>
      </xdr:nvSpPr>
      <xdr:spPr>
        <a:xfrm>
          <a:off x="168089" y="1179757"/>
          <a:ext cx="1668806" cy="2141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4653A18-FBF8-4083-8F9F-8C01685B3C54}" type="TxLink">
            <a:rPr lang="en-US" sz="1200" b="1" i="0" u="none" strike="noStrike">
              <a:solidFill>
                <a:srgbClr val="002060"/>
              </a:solidFill>
              <a:latin typeface="+mn-lt"/>
              <a:cs typeface="Segoe UI" panose="020B0502040204020203" pitchFamily="34" charset="0"/>
            </a:rPr>
            <a:pPr algn="ctr"/>
            <a:t>Rs. 19,151.59 Cr</a:t>
          </a:fld>
          <a:endParaRPr lang="en-US" sz="1200">
            <a:solidFill>
              <a:srgbClr val="002060"/>
            </a:solidFill>
            <a:latin typeface="+mn-lt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187421</xdr:colOff>
      <xdr:row>7</xdr:row>
      <xdr:rowOff>126065</xdr:rowOff>
    </xdr:from>
    <xdr:to>
      <xdr:col>3</xdr:col>
      <xdr:colOff>336177</xdr:colOff>
      <xdr:row>8</xdr:row>
      <xdr:rowOff>49026</xdr:rowOff>
    </xdr:to>
    <xdr:sp macro="" textlink="Model_Data!L8">
      <xdr:nvSpPr>
        <xdr:cNvPr id="16" name="TextBox 15">
          <a:extLst>
            <a:ext uri="{FF2B5EF4-FFF2-40B4-BE49-F238E27FC236}">
              <a16:creationId xmlns:a16="http://schemas.microsoft.com/office/drawing/2014/main" id="{CAC3C1E6-86FE-4380-9C31-E0463D6E3F81}"/>
            </a:ext>
          </a:extLst>
        </xdr:cNvPr>
        <xdr:cNvSpPr txBox="1"/>
      </xdr:nvSpPr>
      <xdr:spPr>
        <a:xfrm>
          <a:off x="373542" y="1428910"/>
          <a:ext cx="1309273" cy="1090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B1BA9CB-2402-4763-8088-D18DB29AA195}" type="TxLink">
            <a:rPr lang="en-US" sz="900" b="0" i="0" u="none" strike="noStrike">
              <a:solidFill>
                <a:schemeClr val="bg1">
                  <a:lumMod val="50000"/>
                </a:schemeClr>
              </a:solidFill>
              <a:latin typeface="+mn-lt"/>
              <a:cs typeface="Segoe UI" panose="020B0502040204020203" pitchFamily="34" charset="0"/>
            </a:rPr>
            <a:pPr algn="ctr"/>
            <a:t> + 6.7% YoY</a:t>
          </a:fld>
          <a:endParaRPr lang="en-US" sz="600" b="0">
            <a:solidFill>
              <a:schemeClr val="bg1">
                <a:lumMod val="50000"/>
              </a:schemeClr>
            </a:solidFill>
            <a:latin typeface="+mn-lt"/>
            <a:cs typeface="Segoe UI" panose="020B0502040204020203" pitchFamily="34" charset="0"/>
          </a:endParaRPr>
        </a:p>
      </xdr:txBody>
    </xdr:sp>
    <xdr:clientData/>
  </xdr:twoCellAnchor>
  <xdr:twoCellAnchor>
    <xdr:from>
      <xdr:col>4</xdr:col>
      <xdr:colOff>12328</xdr:colOff>
      <xdr:row>6</xdr:row>
      <xdr:rowOff>40340</xdr:rowOff>
    </xdr:from>
    <xdr:to>
      <xdr:col>6</xdr:col>
      <xdr:colOff>516592</xdr:colOff>
      <xdr:row>7</xdr:row>
      <xdr:rowOff>68355</xdr:rowOff>
    </xdr:to>
    <xdr:sp macro="" textlink="Model_Data!L7">
      <xdr:nvSpPr>
        <xdr:cNvPr id="17" name="TextBox 16">
          <a:extLst>
            <a:ext uri="{FF2B5EF4-FFF2-40B4-BE49-F238E27FC236}">
              <a16:creationId xmlns:a16="http://schemas.microsoft.com/office/drawing/2014/main" id="{6B86CC12-FAFD-4A81-89CF-F26492252FBF}"/>
            </a:ext>
          </a:extLst>
        </xdr:cNvPr>
        <xdr:cNvSpPr txBox="1"/>
      </xdr:nvSpPr>
      <xdr:spPr>
        <a:xfrm>
          <a:off x="1939225" y="1157064"/>
          <a:ext cx="1664781" cy="2141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3D787DA-FB2F-48A1-B0EB-B23040540E12}" type="TxLink">
            <a:rPr lang="en-US" sz="1200" b="1" i="0" u="none" strike="noStrike">
              <a:solidFill>
                <a:srgbClr val="00B050"/>
              </a:solidFill>
              <a:latin typeface="Calibri"/>
              <a:cs typeface="Calibri"/>
            </a:rPr>
            <a:pPr algn="ctr"/>
            <a:t>Rs. 3,514.34 Cr</a:t>
          </a:fld>
          <a:endParaRPr lang="en-US" sz="1400">
            <a:solidFill>
              <a:srgbClr val="00B05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4</xdr:col>
      <xdr:colOff>199749</xdr:colOff>
      <xdr:row>7</xdr:row>
      <xdr:rowOff>103373</xdr:rowOff>
    </xdr:from>
    <xdr:to>
      <xdr:col>6</xdr:col>
      <xdr:colOff>348505</xdr:colOff>
      <xdr:row>8</xdr:row>
      <xdr:rowOff>56030</xdr:rowOff>
    </xdr:to>
    <xdr:sp macro="" textlink="Model_Data!L9">
      <xdr:nvSpPr>
        <xdr:cNvPr id="21" name="TextBox 20">
          <a:extLst>
            <a:ext uri="{FF2B5EF4-FFF2-40B4-BE49-F238E27FC236}">
              <a16:creationId xmlns:a16="http://schemas.microsoft.com/office/drawing/2014/main" id="{AA0BF424-459F-4842-AAAC-2F417F5E45C1}"/>
            </a:ext>
          </a:extLst>
        </xdr:cNvPr>
        <xdr:cNvSpPr txBox="1"/>
      </xdr:nvSpPr>
      <xdr:spPr>
        <a:xfrm>
          <a:off x="2126646" y="1406218"/>
          <a:ext cx="1309273" cy="1387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9D3D109-6974-41EA-80B5-A4CF19F3C2DA}" type="TxLink">
            <a:rPr lang="en-US" sz="800" b="0" i="0" u="none" strike="noStrike">
              <a:solidFill>
                <a:schemeClr val="bg1">
                  <a:lumMod val="50000"/>
                </a:schemeClr>
              </a:solidFill>
              <a:latin typeface="+mn-lt"/>
              <a:cs typeface="Segoe UI" panose="020B0502040204020203" pitchFamily="34" charset="0"/>
            </a:rPr>
            <a:pPr algn="ctr"/>
            <a:t>18.35% Magin</a:t>
          </a:fld>
          <a:endParaRPr lang="en-US" sz="200" b="0">
            <a:solidFill>
              <a:schemeClr val="bg1">
                <a:lumMod val="50000"/>
              </a:schemeClr>
            </a:solidFill>
            <a:latin typeface="+mn-lt"/>
            <a:cs typeface="Segoe UI" panose="020B0502040204020203" pitchFamily="34" charset="0"/>
          </a:endParaRPr>
        </a:p>
      </xdr:txBody>
    </xdr:sp>
    <xdr:clientData/>
  </xdr:twoCellAnchor>
  <xdr:twoCellAnchor>
    <xdr:from>
      <xdr:col>7</xdr:col>
      <xdr:colOff>45664</xdr:colOff>
      <xdr:row>6</xdr:row>
      <xdr:rowOff>45664</xdr:rowOff>
    </xdr:from>
    <xdr:to>
      <xdr:col>9</xdr:col>
      <xdr:colOff>549927</xdr:colOff>
      <xdr:row>7</xdr:row>
      <xdr:rowOff>73679</xdr:rowOff>
    </xdr:to>
    <xdr:sp macro="" textlink="Model_Data!L10">
      <xdr:nvSpPr>
        <xdr:cNvPr id="22" name="TextBox 21">
          <a:extLst>
            <a:ext uri="{FF2B5EF4-FFF2-40B4-BE49-F238E27FC236}">
              <a16:creationId xmlns:a16="http://schemas.microsoft.com/office/drawing/2014/main" id="{697FAC81-BFCA-41F7-AE1F-82A36E598D9E}"/>
            </a:ext>
          </a:extLst>
        </xdr:cNvPr>
        <xdr:cNvSpPr txBox="1"/>
      </xdr:nvSpPr>
      <xdr:spPr>
        <a:xfrm>
          <a:off x="3713336" y="1162388"/>
          <a:ext cx="1664781" cy="2141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E17C6D1-D9BF-41A4-B0A0-1E5412A07AD3}" type="TxLink">
            <a:rPr lang="en-US" sz="1200" b="1" i="0" u="none" strike="noStrike">
              <a:solidFill>
                <a:srgbClr val="FF0000"/>
              </a:solidFill>
              <a:latin typeface="Calibri"/>
              <a:cs typeface="Calibri"/>
            </a:rPr>
            <a:pPr algn="ctr"/>
            <a:t>Rs. 2,533.49 Cr</a:t>
          </a:fld>
          <a:endParaRPr lang="en-US" sz="1600">
            <a:solidFill>
              <a:srgbClr val="FF000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7</xdr:col>
      <xdr:colOff>219079</xdr:colOff>
      <xdr:row>7</xdr:row>
      <xdr:rowOff>101692</xdr:rowOff>
    </xdr:from>
    <xdr:to>
      <xdr:col>9</xdr:col>
      <xdr:colOff>367834</xdr:colOff>
      <xdr:row>8</xdr:row>
      <xdr:rowOff>54349</xdr:rowOff>
    </xdr:to>
    <xdr:sp macro="" textlink="Model_Data!L11">
      <xdr:nvSpPr>
        <xdr:cNvPr id="23" name="TextBox 22">
          <a:extLst>
            <a:ext uri="{FF2B5EF4-FFF2-40B4-BE49-F238E27FC236}">
              <a16:creationId xmlns:a16="http://schemas.microsoft.com/office/drawing/2014/main" id="{4BF67AAC-DD7B-47F4-B89E-8F9F8B6714AF}"/>
            </a:ext>
          </a:extLst>
        </xdr:cNvPr>
        <xdr:cNvSpPr txBox="1"/>
      </xdr:nvSpPr>
      <xdr:spPr>
        <a:xfrm>
          <a:off x="3886751" y="1404537"/>
          <a:ext cx="1309273" cy="1387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ED5130A-BC23-4329-9E13-3F3F192724E2}" type="TxLink">
            <a:rPr lang="en-US" sz="900" b="0" i="0" u="none" strike="noStrike">
              <a:solidFill>
                <a:schemeClr val="bg1">
                  <a:lumMod val="50000"/>
                </a:schemeClr>
              </a:solidFill>
              <a:latin typeface="Calibri"/>
              <a:cs typeface="Calibri"/>
            </a:rPr>
            <a:pPr algn="ctr"/>
            <a:t>13.23% Magin</a:t>
          </a:fld>
          <a:endParaRPr lang="en-US" sz="100" b="0">
            <a:solidFill>
              <a:schemeClr val="bg1">
                <a:lumMod val="5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10</xdr:col>
      <xdr:colOff>79001</xdr:colOff>
      <xdr:row>6</xdr:row>
      <xdr:rowOff>50986</xdr:rowOff>
    </xdr:from>
    <xdr:to>
      <xdr:col>13</xdr:col>
      <xdr:colOff>1960</xdr:colOff>
      <xdr:row>7</xdr:row>
      <xdr:rowOff>79001</xdr:rowOff>
    </xdr:to>
    <xdr:sp macro="" textlink="Model_Data!L12">
      <xdr:nvSpPr>
        <xdr:cNvPr id="24" name="TextBox 23">
          <a:extLst>
            <a:ext uri="{FF2B5EF4-FFF2-40B4-BE49-F238E27FC236}">
              <a16:creationId xmlns:a16="http://schemas.microsoft.com/office/drawing/2014/main" id="{4559199B-C3E5-42C5-ABD2-942A73EAE702}"/>
            </a:ext>
          </a:extLst>
        </xdr:cNvPr>
        <xdr:cNvSpPr txBox="1"/>
      </xdr:nvSpPr>
      <xdr:spPr>
        <a:xfrm>
          <a:off x="5487449" y="1167710"/>
          <a:ext cx="1663735" cy="2141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9D71820-96DE-46FC-AAD5-C16E854A9ABA}" type="TxLink">
            <a:rPr lang="en-US" sz="1200" b="1" i="0" u="none" strike="noStrike">
              <a:solidFill>
                <a:srgbClr val="92D050"/>
              </a:solidFill>
              <a:latin typeface="Calibri"/>
              <a:cs typeface="Calibri"/>
            </a:rPr>
            <a:pPr algn="ctr"/>
            <a:t>Rs. 2,611.60 Cr</a:t>
          </a:fld>
          <a:endParaRPr lang="en-US" sz="1600">
            <a:solidFill>
              <a:srgbClr val="92D05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10</xdr:col>
      <xdr:colOff>133071</xdr:colOff>
      <xdr:row>7</xdr:row>
      <xdr:rowOff>86003</xdr:rowOff>
    </xdr:from>
    <xdr:to>
      <xdr:col>12</xdr:col>
      <xdr:colOff>553291</xdr:colOff>
      <xdr:row>8</xdr:row>
      <xdr:rowOff>91048</xdr:rowOff>
    </xdr:to>
    <xdr:sp macro="" textlink="Model_Data!L13">
      <xdr:nvSpPr>
        <xdr:cNvPr id="25" name="TextBox 24">
          <a:extLst>
            <a:ext uri="{FF2B5EF4-FFF2-40B4-BE49-F238E27FC236}">
              <a16:creationId xmlns:a16="http://schemas.microsoft.com/office/drawing/2014/main" id="{302BC80C-A65F-4001-BFEA-74F32E01FC02}"/>
            </a:ext>
          </a:extLst>
        </xdr:cNvPr>
        <xdr:cNvSpPr txBox="1"/>
      </xdr:nvSpPr>
      <xdr:spPr>
        <a:xfrm>
          <a:off x="5541519" y="1388848"/>
          <a:ext cx="1580738" cy="1911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4767F2A-0940-4D78-96D5-A910C5B64ABB}" type="TxLink">
            <a:rPr lang="en-US" sz="800" b="0" i="0" u="none" strike="noStrike">
              <a:solidFill>
                <a:schemeClr val="bg1">
                  <a:lumMod val="50000"/>
                </a:schemeClr>
              </a:solidFill>
              <a:latin typeface="Calibri"/>
              <a:cs typeface="Calibri"/>
            </a:rPr>
            <a:pPr algn="ctr"/>
            <a:t>103.08% Conversion</a:t>
          </a:fld>
          <a:endParaRPr lang="en-US" sz="100" b="0">
            <a:solidFill>
              <a:schemeClr val="bg1">
                <a:lumMod val="50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13</xdr:col>
      <xdr:colOff>98332</xdr:colOff>
      <xdr:row>6</xdr:row>
      <xdr:rowOff>56309</xdr:rowOff>
    </xdr:from>
    <xdr:to>
      <xdr:col>16</xdr:col>
      <xdr:colOff>21290</xdr:colOff>
      <xdr:row>7</xdr:row>
      <xdr:rowOff>84324</xdr:rowOff>
    </xdr:to>
    <xdr:sp macro="" textlink="Model_Data!L14">
      <xdr:nvSpPr>
        <xdr:cNvPr id="26" name="TextBox 25">
          <a:extLst>
            <a:ext uri="{FF2B5EF4-FFF2-40B4-BE49-F238E27FC236}">
              <a16:creationId xmlns:a16="http://schemas.microsoft.com/office/drawing/2014/main" id="{4CA0DA0B-9A02-4ABE-BF30-BE4D5554B362}"/>
            </a:ext>
          </a:extLst>
        </xdr:cNvPr>
        <xdr:cNvSpPr txBox="1"/>
      </xdr:nvSpPr>
      <xdr:spPr>
        <a:xfrm>
          <a:off x="7247556" y="1173033"/>
          <a:ext cx="1663734" cy="2141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2B076B9-E46E-48FA-A2E9-B940A044849F}" type="TxLink">
            <a:rPr lang="en-US" sz="1100" b="1" i="0" u="none" strike="noStrike">
              <a:solidFill>
                <a:srgbClr val="7030A0"/>
              </a:solidFill>
              <a:latin typeface="Calibri"/>
              <a:cs typeface="Calibri"/>
            </a:rPr>
            <a:pPr algn="ctr"/>
            <a:t>Rs. 20,441.96 Cr</a:t>
          </a:fld>
          <a:endParaRPr lang="en-US" sz="1600">
            <a:solidFill>
              <a:srgbClr val="7030A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13</xdr:col>
      <xdr:colOff>138676</xdr:colOff>
      <xdr:row>7</xdr:row>
      <xdr:rowOff>77318</xdr:rowOff>
    </xdr:from>
    <xdr:to>
      <xdr:col>15</xdr:col>
      <xdr:colOff>558612</xdr:colOff>
      <xdr:row>8</xdr:row>
      <xdr:rowOff>82362</xdr:rowOff>
    </xdr:to>
    <xdr:sp macro="" textlink="Model_Data!L15">
      <xdr:nvSpPr>
        <xdr:cNvPr id="27" name="TextBox 26">
          <a:extLst>
            <a:ext uri="{FF2B5EF4-FFF2-40B4-BE49-F238E27FC236}">
              <a16:creationId xmlns:a16="http://schemas.microsoft.com/office/drawing/2014/main" id="{454802B3-9BCD-4C23-80FC-10B7D8A5B21F}"/>
            </a:ext>
          </a:extLst>
        </xdr:cNvPr>
        <xdr:cNvSpPr txBox="1"/>
      </xdr:nvSpPr>
      <xdr:spPr>
        <a:xfrm>
          <a:off x="7287900" y="1380163"/>
          <a:ext cx="1580453" cy="1911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E9B11D1-BDE9-43F6-AEFF-B868C54609E8}" type="TxLink">
            <a:rPr lang="en-US" sz="900" b="0" i="0" u="none" strike="noStrike">
              <a:solidFill>
                <a:srgbClr val="717171"/>
              </a:solidFill>
              <a:latin typeface="Calibri"/>
              <a:cs typeface="Calibri"/>
            </a:rPr>
            <a:pPr algn="ctr"/>
            <a:t>6.7% Est Growth</a:t>
          </a:fld>
          <a:endParaRPr lang="en-US" sz="100" b="0">
            <a:solidFill>
              <a:srgbClr val="71717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</xdr:col>
      <xdr:colOff>2808</xdr:colOff>
      <xdr:row>10</xdr:row>
      <xdr:rowOff>0</xdr:rowOff>
    </xdr:from>
    <xdr:to>
      <xdr:col>8</xdr:col>
      <xdr:colOff>323490</xdr:colOff>
      <xdr:row>19</xdr:row>
      <xdr:rowOff>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E09BEBA5-1236-4A24-9CE6-D863020F0B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377406</xdr:colOff>
      <xdr:row>10</xdr:row>
      <xdr:rowOff>272</xdr:rowOff>
    </xdr:from>
    <xdr:to>
      <xdr:col>15</xdr:col>
      <xdr:colOff>575094</xdr:colOff>
      <xdr:row>18</xdr:row>
      <xdr:rowOff>170731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A821CCFB-1DC5-43A4-8CCA-64683E073A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170731</xdr:colOff>
      <xdr:row>19</xdr:row>
      <xdr:rowOff>115113</xdr:rowOff>
    </xdr:from>
    <xdr:to>
      <xdr:col>8</xdr:col>
      <xdr:colOff>341462</xdr:colOff>
      <xdr:row>28</xdr:row>
      <xdr:rowOff>117571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ABB450CC-714B-44FC-8285-0D77AC1B0A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404364</xdr:colOff>
      <xdr:row>19</xdr:row>
      <xdr:rowOff>125802</xdr:rowOff>
    </xdr:from>
    <xdr:to>
      <xdr:col>16</xdr:col>
      <xdr:colOff>44930</xdr:colOff>
      <xdr:row>28</xdr:row>
      <xdr:rowOff>128260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88357477-0757-4E33-9E22-E1AF484245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85725</xdr:rowOff>
    </xdr:from>
    <xdr:to>
      <xdr:col>7</xdr:col>
      <xdr:colOff>314325</xdr:colOff>
      <xdr:row>15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05FB7B-C962-48D7-ADEA-7781FE9AF4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96.482793171293" createdVersion="8" refreshedVersion="8" minRefreshableVersion="3" recordCount="30" xr:uid="{47C9934C-37EF-49EE-AC7D-DC48C572E0AB}">
  <cacheSource type="worksheet">
    <worksheetSource name="Model_Data"/>
  </cacheSource>
  <cacheFields count="3">
    <cacheField name="Narration" numFmtId="0">
      <sharedItems count="3">
        <s v="Sales"/>
        <s v="Expenses"/>
        <s v="Operating Profit"/>
      </sharedItems>
    </cacheField>
    <cacheField name="Quarter" numFmtId="14">
      <sharedItems count="17">
        <s v="Mar-24"/>
        <s v="Jun-24"/>
        <s v="Sep-24"/>
        <s v="Dec-24"/>
        <s v="Mar-25"/>
        <s v="Jun-25"/>
        <s v="Sep-25"/>
        <s v="Dec-25"/>
        <s v="Mar-26"/>
        <s v="Jun-26"/>
        <s v="Formula1" f="1"/>
        <s v="Formula2" f="1"/>
        <s v="Formula3" f="1"/>
        <s v="Formula4" f="1"/>
        <s v="Formula5" f="1"/>
        <s v="Formula6" f="1"/>
        <s v="Formula7" f="1"/>
      </sharedItems>
    </cacheField>
    <cacheField name="Amount" numFmtId="0">
      <sharedItems containsSemiMixedTypes="0" containsString="0" containsNumber="1" minValue="752.2" maxValue="4999.97"/>
    </cacheField>
  </cacheFields>
  <calculatedItems count="7">
    <calculatedItem>
      <pivotArea cacheIndex="1" outline="0" fieldPosition="0">
        <references count="1">
          <reference field="1" count="1">
            <x v="10"/>
          </reference>
        </references>
      </pivotArea>
    </calculatedItem>
    <calculatedItem>
      <pivotArea cacheIndex="1" outline="0" fieldPosition="0">
        <references count="1">
          <reference field="1" count="1">
            <x v="11"/>
          </reference>
        </references>
      </pivotArea>
    </calculatedItem>
    <calculatedItem>
      <pivotArea cacheIndex="1" outline="0" fieldPosition="0">
        <references count="1">
          <reference field="1" count="1">
            <x v="12"/>
          </reference>
        </references>
      </pivotArea>
    </calculatedItem>
    <calculatedItem>
      <pivotArea cacheIndex="1" outline="0" fieldPosition="0">
        <references count="1">
          <reference field="1" count="1">
            <x v="13"/>
          </reference>
        </references>
      </pivotArea>
    </calculatedItem>
    <calculatedItem>
      <pivotArea cacheIndex="1" outline="0" fieldPosition="0">
        <references count="1">
          <reference field="1" count="1">
            <x v="14"/>
          </reference>
        </references>
      </pivotArea>
    </calculatedItem>
    <calculatedItem>
      <pivotArea cacheIndex="1" outline="0" fieldPosition="0">
        <references count="1">
          <reference field="1" count="1">
            <x v="15"/>
          </reference>
        </references>
      </pivotArea>
    </calculatedItem>
    <calculatedItem>
      <pivotArea cacheIndex="1" outline="0" fieldPosition="0">
        <references count="1">
          <reference field="1" count="1">
            <x v="16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n v="4069.36"/>
  </r>
  <r>
    <x v="0"/>
    <x v="1"/>
    <n v="4250.29"/>
  </r>
  <r>
    <x v="0"/>
    <x v="2"/>
    <n v="4667.57"/>
  </r>
  <r>
    <x v="0"/>
    <x v="3"/>
    <n v="4592.6099999999997"/>
  </r>
  <r>
    <x v="0"/>
    <x v="4"/>
    <n v="4432.1899999999996"/>
  </r>
  <r>
    <x v="0"/>
    <x v="5"/>
    <n v="4622.22"/>
  </r>
  <r>
    <x v="0"/>
    <x v="6"/>
    <n v="4840.63"/>
  </r>
  <r>
    <x v="0"/>
    <x v="7"/>
    <n v="4969.82"/>
  </r>
  <r>
    <x v="0"/>
    <x v="8"/>
    <n v="4718.92"/>
  </r>
  <r>
    <x v="0"/>
    <x v="9"/>
    <n v="4999.97"/>
  </r>
  <r>
    <x v="1"/>
    <x v="0"/>
    <n v="3285.71"/>
  </r>
  <r>
    <x v="1"/>
    <x v="1"/>
    <n v="3497.28"/>
  </r>
  <r>
    <x v="1"/>
    <x v="2"/>
    <n v="3887.56"/>
  </r>
  <r>
    <x v="1"/>
    <x v="3"/>
    <n v="3749.75"/>
  </r>
  <r>
    <x v="1"/>
    <x v="4"/>
    <n v="3631.67"/>
  </r>
  <r>
    <x v="1"/>
    <x v="5"/>
    <n v="3870.02"/>
  </r>
  <r>
    <x v="1"/>
    <x v="6"/>
    <n v="3889.39"/>
  </r>
  <r>
    <x v="1"/>
    <x v="7"/>
    <n v="3992.49"/>
  </r>
  <r>
    <x v="1"/>
    <x v="8"/>
    <n v="3885.35"/>
  </r>
  <r>
    <x v="1"/>
    <x v="9"/>
    <n v="4161.6499999999996"/>
  </r>
  <r>
    <x v="2"/>
    <x v="0"/>
    <n v="783.65"/>
  </r>
  <r>
    <x v="2"/>
    <x v="1"/>
    <n v="753.01"/>
  </r>
  <r>
    <x v="2"/>
    <x v="2"/>
    <n v="780.01"/>
  </r>
  <r>
    <x v="2"/>
    <x v="3"/>
    <n v="842.86"/>
  </r>
  <r>
    <x v="2"/>
    <x v="4"/>
    <n v="800.52"/>
  </r>
  <r>
    <x v="2"/>
    <x v="5"/>
    <n v="752.2"/>
  </r>
  <r>
    <x v="2"/>
    <x v="6"/>
    <n v="951.24"/>
  </r>
  <r>
    <x v="2"/>
    <x v="7"/>
    <n v="977.33"/>
  </r>
  <r>
    <x v="2"/>
    <x v="8"/>
    <n v="833.57"/>
  </r>
  <r>
    <x v="2"/>
    <x v="9"/>
    <n v="838.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44D98D-4AE5-4842-AE58-B4AD9F43C96F}" name="PivotTable7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E5:H17" firstHeaderRow="1" firstDataRow="2" firstDataCol="1"/>
  <pivotFields count="3">
    <pivotField axis="axisCol" showAll="0">
      <items count="4">
        <item h="1" x="1"/>
        <item x="2"/>
        <item x="0"/>
        <item t="default"/>
      </items>
    </pivotField>
    <pivotField axis="axisRow" showAll="0" nonAutoSortDefault="1" defaultSubtotal="0">
      <items count="17">
        <item h="1" f="1" x="10"/>
        <item h="1" f="1" x="11"/>
        <item h="1" f="1" x="12"/>
        <item h="1" f="1" x="13"/>
        <item h="1" f="1" x="14"/>
        <item h="1" f="1" x="15"/>
        <item h="1" f="1" x="16"/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howAll="0"/>
  </pivotFields>
  <rowFields count="1">
    <field x="1"/>
  </rowFields>
  <rowItems count="11"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0"/>
  </colFields>
  <colItems count="3">
    <i>
      <x v="1"/>
    </i>
    <i>
      <x v="2"/>
    </i>
    <i t="grand">
      <x/>
    </i>
  </colItems>
  <dataFields count="1">
    <dataField name="Sum of Amount" fld="2" baseField="0" baseItem="0"/>
  </dataFields>
  <formats count="1">
    <format dxfId="7">
      <pivotArea dataOnly="0" labelOnly="1" fieldPosition="0">
        <references count="1">
          <reference field="1" count="0"/>
        </references>
      </pivotArea>
    </format>
  </formats>
  <chartFormats count="10"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27B3C0A-4A5D-403D-B61D-B1CC62622C18}" autoFormatId="16" applyNumberFormats="0" applyBorderFormats="0" applyFontFormats="0" applyPatternFormats="0" applyAlignmentFormats="0" applyWidthHeightFormats="0">
  <queryTableRefresh nextId="4">
    <queryTableFields count="3">
      <queryTableField id="1" name="Narration" tableColumnId="1"/>
      <queryTableField id="2" name="Quarter" tableColumnId="2"/>
      <queryTableField id="3" name="Amount" tableColumnId="3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7">
  <tableColumns count="14">
    <tableColumn id="1" xr3:uid="{00000000-0010-0000-0000-000001000000}" name="Column1" headerRowDxfId="36" dataDxfId="35"/>
    <tableColumn id="2" xr3:uid="{00000000-0010-0000-0000-000002000000}" name="Column2" headerRowDxfId="34"/>
    <tableColumn id="3" xr3:uid="{00000000-0010-0000-0000-000003000000}" name="Column3" headerRowDxfId="33"/>
    <tableColumn id="4" xr3:uid="{00000000-0010-0000-0000-000004000000}" name="Column4" headerRowDxfId="32"/>
    <tableColumn id="5" xr3:uid="{00000000-0010-0000-0000-000005000000}" name="Column5" headerRowDxfId="31"/>
    <tableColumn id="6" xr3:uid="{00000000-0010-0000-0000-000006000000}" name="Column6" headerRowDxfId="30"/>
    <tableColumn id="7" xr3:uid="{00000000-0010-0000-0000-000007000000}" name="Column7" headerRowDxfId="29"/>
    <tableColumn id="8" xr3:uid="{00000000-0010-0000-0000-000008000000}" name="Column8" headerRowDxfId="28"/>
    <tableColumn id="9" xr3:uid="{00000000-0010-0000-0000-000009000000}" name="Column9" headerRowDxfId="27"/>
    <tableColumn id="10" xr3:uid="{00000000-0010-0000-0000-00000A000000}" name="Column10" headerRowDxfId="26"/>
    <tableColumn id="11" xr3:uid="{00000000-0010-0000-0000-00000B000000}" name="Column11" headerRowDxfId="25"/>
    <tableColumn id="12" xr3:uid="{00000000-0010-0000-0000-00000C000000}" name="Column12" headerRowDxfId="24"/>
    <tableColumn id="13" xr3:uid="{00000000-0010-0000-0000-00000D000000}" name="Column13" headerRowDxfId="23" dataDxfId="22"/>
    <tableColumn id="14" xr3:uid="{00000000-0010-0000-0000-00000E000000}" name="Column14" headerRowDxfId="21" dataDxfId="20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3" headerRowCount="0" totalsRowShown="0" headerRowDxfId="19">
  <tableColumns count="11">
    <tableColumn id="1" xr3:uid="{00000000-0010-0000-0100-000001000000}" name="Column1" headerRowDxfId="18"/>
    <tableColumn id="2" xr3:uid="{00000000-0010-0000-0100-000002000000}" name="Column2" headerRowDxfId="17"/>
    <tableColumn id="3" xr3:uid="{00000000-0010-0000-0100-000003000000}" name="Column3" headerRowDxfId="16"/>
    <tableColumn id="4" xr3:uid="{00000000-0010-0000-0100-000004000000}" name="Column4" headerRowDxfId="15"/>
    <tableColumn id="5" xr3:uid="{00000000-0010-0000-0100-000005000000}" name="Column5" headerRowDxfId="14"/>
    <tableColumn id="6" xr3:uid="{00000000-0010-0000-0100-000006000000}" name="Column6" headerRowDxfId="13"/>
    <tableColumn id="7" xr3:uid="{00000000-0010-0000-0100-000007000000}" name="Column7" headerRowDxfId="12"/>
    <tableColumn id="8" xr3:uid="{00000000-0010-0000-0100-000008000000}" name="Column8" headerRowDxfId="11"/>
    <tableColumn id="9" xr3:uid="{00000000-0010-0000-0100-000009000000}" name="Column9" headerRowDxfId="10"/>
    <tableColumn id="10" xr3:uid="{00000000-0010-0000-0100-00000A000000}" name="Column10" headerRowDxfId="9"/>
    <tableColumn id="11" xr3:uid="{00000000-0010-0000-0100-00000B000000}" name="Column11" headerRowDxfId="8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A4383B0-F1F3-4899-9926-A272F3778243}" name="Model_Data" displayName="Model_Data" ref="A1:C31" tableType="queryTable" totalsRowShown="0">
  <autoFilter ref="A1:C31" xr:uid="{4A4383B0-F1F3-4899-9926-A272F3778243}"/>
  <tableColumns count="3">
    <tableColumn id="1" xr3:uid="{667776E4-B540-4C28-891C-F9AF05341D9E}" uniqueName="1" name="Narration" queryTableFieldId="1" dataDxfId="6"/>
    <tableColumn id="2" xr3:uid="{14816CC2-7519-46E9-AB68-50F69DFFA96B}" uniqueName="2" name="Quarter" queryTableFieldId="2" dataDxfId="5"/>
    <tableColumn id="3" xr3:uid="{67EF33A3-3227-4AE4-A052-46F4CE334AA4}" uniqueName="3" name="Amount" queryTableFieldId="3"/>
  </tableColumns>
  <tableStyleInfo name="TableStyleMedium7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reener.in/excel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screener.in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screener.in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F5" activePane="bottomRight" state="frozen"/>
      <selection activeCell="I2" sqref="I2"/>
      <selection pane="topRight" activeCell="I2" sqref="I2"/>
      <selection pane="bottomLeft" activeCell="I2" sqref="I2"/>
      <selection pane="bottomRight" activeCell="B16" activeCellId="1" sqref="B3:K4 B16:K16"/>
    </sheetView>
  </sheetViews>
  <sheetFormatPr defaultColWidth="8.85546875" defaultRowHeight="15" x14ac:dyDescent="0.25"/>
  <cols>
    <col min="1" max="1" width="20.7109375" style="6" customWidth="1"/>
    <col min="2" max="6" width="13.42578125" style="6" customWidth="1"/>
    <col min="7" max="7" width="14.85546875" style="6" bestFit="1" customWidth="1"/>
    <col min="8" max="10" width="13.42578125" style="6" customWidth="1"/>
    <col min="11" max="11" width="15.42578125" style="6" bestFit="1" customWidth="1"/>
    <col min="12" max="12" width="13.28515625" style="6" customWidth="1"/>
    <col min="13" max="14" width="12.140625" style="6" customWidth="1"/>
    <col min="15" max="16384" width="8.85546875" style="6"/>
  </cols>
  <sheetData>
    <row r="1" spans="1:14" s="8" customFormat="1" x14ac:dyDescent="0.25">
      <c r="A1" s="8" t="str">
        <f>'Data Sheet'!B1</f>
        <v>BRITANNIA INDUSTRIES LTD</v>
      </c>
      <c r="H1" t="str">
        <f>UPDATE</f>
        <v/>
      </c>
      <c r="J1" s="3"/>
      <c r="K1" s="3"/>
      <c r="M1" s="8" t="s">
        <v>1</v>
      </c>
    </row>
    <row r="3" spans="1:14" s="2" customFormat="1" x14ac:dyDescent="0.25">
      <c r="A3" s="15" t="s">
        <v>2</v>
      </c>
      <c r="B3" s="16">
        <f>'Data Sheet'!B16</f>
        <v>42825</v>
      </c>
      <c r="C3" s="16">
        <f>'Data Sheet'!C16</f>
        <v>43190</v>
      </c>
      <c r="D3" s="16">
        <f>'Data Sheet'!D16</f>
        <v>43555</v>
      </c>
      <c r="E3" s="16">
        <f>'Data Sheet'!E16</f>
        <v>43921</v>
      </c>
      <c r="F3" s="16">
        <f>'Data Sheet'!F16</f>
        <v>44286</v>
      </c>
      <c r="G3" s="16">
        <f>'Data Sheet'!G16</f>
        <v>44651</v>
      </c>
      <c r="H3" s="16">
        <f>'Data Sheet'!H16</f>
        <v>45016</v>
      </c>
      <c r="I3" s="16">
        <f>'Data Sheet'!I16</f>
        <v>45382</v>
      </c>
      <c r="J3" s="16">
        <f>'Data Sheet'!J16</f>
        <v>45747</v>
      </c>
      <c r="K3" s="16">
        <f>'Data Sheet'!K16</f>
        <v>46112</v>
      </c>
      <c r="L3" s="17" t="s">
        <v>3</v>
      </c>
      <c r="M3" s="17" t="s">
        <v>4</v>
      </c>
      <c r="N3" s="17" t="s">
        <v>5</v>
      </c>
    </row>
    <row r="4" spans="1:14" s="8" customFormat="1" x14ac:dyDescent="0.25">
      <c r="A4" s="8" t="s">
        <v>6</v>
      </c>
      <c r="B4" s="1">
        <f>'Data Sheet'!B17</f>
        <v>9054.09</v>
      </c>
      <c r="C4" s="1">
        <f>'Data Sheet'!C17</f>
        <v>9913.99</v>
      </c>
      <c r="D4" s="1">
        <f>'Data Sheet'!D17</f>
        <v>11054.67</v>
      </c>
      <c r="E4" s="1">
        <f>'Data Sheet'!E17</f>
        <v>11599.55</v>
      </c>
      <c r="F4" s="1">
        <f>'Data Sheet'!F17</f>
        <v>13136.14</v>
      </c>
      <c r="G4" s="1">
        <f>'Data Sheet'!G17</f>
        <v>14136.26</v>
      </c>
      <c r="H4" s="1">
        <f>'Data Sheet'!H17</f>
        <v>16300.55</v>
      </c>
      <c r="I4" s="1">
        <f>'Data Sheet'!I17</f>
        <v>16769.27</v>
      </c>
      <c r="J4" s="1">
        <f>'Data Sheet'!J17</f>
        <v>17942.669999999998</v>
      </c>
      <c r="K4" s="62">
        <f>'Data Sheet'!K17</f>
        <v>19151.59</v>
      </c>
      <c r="L4" s="1">
        <f>SUM(Quarters!H4:K4)</f>
        <v>19529.34</v>
      </c>
      <c r="M4" s="1">
        <f>$K4+M23*K4</f>
        <v>20441.963182073796</v>
      </c>
      <c r="N4" s="1">
        <f>$K4+N23*L4</f>
        <v>20229.581569918828</v>
      </c>
    </row>
    <row r="5" spans="1:14" x14ac:dyDescent="0.25">
      <c r="A5" s="6" t="s">
        <v>7</v>
      </c>
      <c r="B5" s="9">
        <f>SUM('Data Sheet'!B18,'Data Sheet'!B20:B24, -1*'Data Sheet'!B19)</f>
        <v>7775.91</v>
      </c>
      <c r="C5" s="9">
        <f>SUM('Data Sheet'!C18,'Data Sheet'!C20:C24, -1*'Data Sheet'!C19)</f>
        <v>8412.52</v>
      </c>
      <c r="D5" s="9">
        <f>SUM('Data Sheet'!D18,'Data Sheet'!D20:D24, -1*'Data Sheet'!D19)</f>
        <v>9322.2199999999993</v>
      </c>
      <c r="E5" s="9">
        <f>SUM('Data Sheet'!E18,'Data Sheet'!E20:E24, -1*'Data Sheet'!E19)</f>
        <v>9756.369999999999</v>
      </c>
      <c r="F5" s="9">
        <f>SUM('Data Sheet'!F18,'Data Sheet'!F20:F24, -1*'Data Sheet'!F19)</f>
        <v>10626.849999999999</v>
      </c>
      <c r="G5" s="9">
        <f>SUM('Data Sheet'!G18,'Data Sheet'!G20:G24, -1*'Data Sheet'!G19)</f>
        <v>11934.949999999999</v>
      </c>
      <c r="H5" s="9">
        <f>SUM('Data Sheet'!H18,'Data Sheet'!H20:H24, -1*'Data Sheet'!H19)</f>
        <v>13469.64</v>
      </c>
      <c r="I5" s="9">
        <f>SUM('Data Sheet'!I18,'Data Sheet'!I20:I24, -1*'Data Sheet'!I19)</f>
        <v>13602.620000000003</v>
      </c>
      <c r="J5" s="9">
        <f>SUM('Data Sheet'!J18,'Data Sheet'!J20:J24, -1*'Data Sheet'!J19)</f>
        <v>14766.26</v>
      </c>
      <c r="K5" s="9">
        <f>SUM('Data Sheet'!K18,'Data Sheet'!K20:K24, -1*'Data Sheet'!K19)</f>
        <v>15637.249999999998</v>
      </c>
      <c r="L5" s="9">
        <f>SUM(Quarters!H5:K5)</f>
        <v>15928.88</v>
      </c>
      <c r="M5" s="9">
        <f t="shared" ref="M5:N5" si="0">M4-M6</f>
        <v>16673.250529289347</v>
      </c>
      <c r="N5" s="9">
        <f t="shared" si="0"/>
        <v>16773.939831710351</v>
      </c>
    </row>
    <row r="6" spans="1:14" s="8" customFormat="1" x14ac:dyDescent="0.25">
      <c r="A6" s="8" t="s">
        <v>8</v>
      </c>
      <c r="B6" s="1">
        <f>B4-B5</f>
        <v>1278.1800000000003</v>
      </c>
      <c r="C6" s="1">
        <f t="shared" ref="C6:K6" si="1">C4-C5</f>
        <v>1501.4699999999993</v>
      </c>
      <c r="D6" s="1">
        <f t="shared" si="1"/>
        <v>1732.4500000000007</v>
      </c>
      <c r="E6" s="1">
        <f t="shared" si="1"/>
        <v>1843.1800000000003</v>
      </c>
      <c r="F6" s="1">
        <f t="shared" si="1"/>
        <v>2509.2900000000009</v>
      </c>
      <c r="G6" s="1">
        <f t="shared" si="1"/>
        <v>2201.3100000000013</v>
      </c>
      <c r="H6" s="1">
        <f t="shared" si="1"/>
        <v>2830.91</v>
      </c>
      <c r="I6" s="1">
        <f t="shared" si="1"/>
        <v>3166.6499999999978</v>
      </c>
      <c r="J6" s="1">
        <f t="shared" si="1"/>
        <v>3176.409999999998</v>
      </c>
      <c r="K6" s="1">
        <f t="shared" si="1"/>
        <v>3514.340000000002</v>
      </c>
      <c r="L6" s="1">
        <f>SUM(Quarters!H6:K6)</f>
        <v>3600.4600000000005</v>
      </c>
      <c r="M6" s="1">
        <f>M4*M24</f>
        <v>3768.712652784448</v>
      </c>
      <c r="N6" s="1">
        <f>N4*N24</f>
        <v>3455.6417382084769</v>
      </c>
    </row>
    <row r="7" spans="1:14" x14ac:dyDescent="0.25">
      <c r="A7" s="6" t="s">
        <v>9</v>
      </c>
      <c r="B7" s="9">
        <f>'Data Sheet'!B25</f>
        <v>150.54</v>
      </c>
      <c r="C7" s="9">
        <f>'Data Sheet'!C25</f>
        <v>166.37</v>
      </c>
      <c r="D7" s="9">
        <f>'Data Sheet'!D25</f>
        <v>206.45</v>
      </c>
      <c r="E7" s="9">
        <f>'Data Sheet'!E25</f>
        <v>262.83</v>
      </c>
      <c r="F7" s="9">
        <f>'Data Sheet'!F25</f>
        <v>313.07</v>
      </c>
      <c r="G7" s="9">
        <f>'Data Sheet'!G25</f>
        <v>221.85</v>
      </c>
      <c r="H7" s="9">
        <f>'Data Sheet'!H25</f>
        <v>596.87</v>
      </c>
      <c r="I7" s="9">
        <f>'Data Sheet'!I25</f>
        <v>211.28</v>
      </c>
      <c r="J7" s="9">
        <f>'Data Sheet'!J25</f>
        <v>202.3</v>
      </c>
      <c r="K7" s="9">
        <f>'Data Sheet'!K25</f>
        <v>224.03</v>
      </c>
      <c r="L7" s="9">
        <f>SUM(Quarters!H7:K7)</f>
        <v>228.42999999999998</v>
      </c>
      <c r="M7" s="9">
        <v>0</v>
      </c>
      <c r="N7" s="9">
        <v>0</v>
      </c>
    </row>
    <row r="8" spans="1:14" x14ac:dyDescent="0.25">
      <c r="A8" s="6" t="s">
        <v>10</v>
      </c>
      <c r="B8" s="9">
        <f>'Data Sheet'!B26</f>
        <v>119.27</v>
      </c>
      <c r="C8" s="9">
        <f>'Data Sheet'!C26</f>
        <v>142.07</v>
      </c>
      <c r="D8" s="9">
        <f>'Data Sheet'!D26</f>
        <v>161.88</v>
      </c>
      <c r="E8" s="9">
        <f>'Data Sheet'!E26</f>
        <v>184.81</v>
      </c>
      <c r="F8" s="9">
        <f>'Data Sheet'!F26</f>
        <v>197.85</v>
      </c>
      <c r="G8" s="9">
        <f>'Data Sheet'!G26</f>
        <v>200.54</v>
      </c>
      <c r="H8" s="9">
        <f>'Data Sheet'!H26</f>
        <v>225.91</v>
      </c>
      <c r="I8" s="9">
        <f>'Data Sheet'!I26</f>
        <v>300.45999999999998</v>
      </c>
      <c r="J8" s="9">
        <f>'Data Sheet'!J26</f>
        <v>313.33999999999997</v>
      </c>
      <c r="K8" s="9">
        <f>'Data Sheet'!K26</f>
        <v>336.83</v>
      </c>
      <c r="L8" s="9">
        <f>SUM(Quarters!H8:K8)</f>
        <v>334.3</v>
      </c>
      <c r="M8" s="9">
        <f>+$L8</f>
        <v>334.3</v>
      </c>
      <c r="N8" s="9">
        <f>+$L8</f>
        <v>334.3</v>
      </c>
    </row>
    <row r="9" spans="1:14" x14ac:dyDescent="0.25">
      <c r="A9" s="6" t="s">
        <v>11</v>
      </c>
      <c r="B9" s="9">
        <f>'Data Sheet'!B27</f>
        <v>5.45</v>
      </c>
      <c r="C9" s="9">
        <f>'Data Sheet'!C27</f>
        <v>7.59</v>
      </c>
      <c r="D9" s="9">
        <f>'Data Sheet'!D27</f>
        <v>9.09</v>
      </c>
      <c r="E9" s="9">
        <f>'Data Sheet'!E27</f>
        <v>76.900000000000006</v>
      </c>
      <c r="F9" s="9">
        <f>'Data Sheet'!F27</f>
        <v>110.9</v>
      </c>
      <c r="G9" s="9">
        <f>'Data Sheet'!G27</f>
        <v>144.29</v>
      </c>
      <c r="H9" s="9">
        <f>'Data Sheet'!H27</f>
        <v>169.1</v>
      </c>
      <c r="I9" s="9">
        <f>'Data Sheet'!I27</f>
        <v>164</v>
      </c>
      <c r="J9" s="9">
        <f>'Data Sheet'!J27</f>
        <v>138.80000000000001</v>
      </c>
      <c r="K9" s="9">
        <f>'Data Sheet'!K27</f>
        <v>112.76</v>
      </c>
      <c r="L9" s="9">
        <f>SUM(Quarters!H9:K9)</f>
        <v>109.48000000000002</v>
      </c>
      <c r="M9" s="9">
        <f>+$L9</f>
        <v>109.48000000000002</v>
      </c>
      <c r="N9" s="9">
        <f>+$L9</f>
        <v>109.48000000000002</v>
      </c>
    </row>
    <row r="10" spans="1:14" x14ac:dyDescent="0.25">
      <c r="A10" s="6" t="s">
        <v>12</v>
      </c>
      <c r="B10" s="9">
        <f>'Data Sheet'!B28</f>
        <v>1304</v>
      </c>
      <c r="C10" s="9">
        <f>'Data Sheet'!C28</f>
        <v>1518.18</v>
      </c>
      <c r="D10" s="9">
        <f>'Data Sheet'!D28</f>
        <v>1767.93</v>
      </c>
      <c r="E10" s="9">
        <f>'Data Sheet'!E28</f>
        <v>1844.3</v>
      </c>
      <c r="F10" s="9">
        <f>'Data Sheet'!F28</f>
        <v>2513.61</v>
      </c>
      <c r="G10" s="9">
        <f>'Data Sheet'!G28</f>
        <v>2078.33</v>
      </c>
      <c r="H10" s="9">
        <f>'Data Sheet'!H28</f>
        <v>3032.77</v>
      </c>
      <c r="I10" s="9">
        <f>'Data Sheet'!I28</f>
        <v>2913.47</v>
      </c>
      <c r="J10" s="9">
        <f>'Data Sheet'!J28</f>
        <v>2926.57</v>
      </c>
      <c r="K10" s="9">
        <f>'Data Sheet'!K28</f>
        <v>3288.78</v>
      </c>
      <c r="L10" s="9">
        <f>SUM(Quarters!H10:K10)</f>
        <v>3385.11</v>
      </c>
      <c r="M10" s="9">
        <f>M6+M7-SUM(M8:M9)</f>
        <v>3324.9326527844478</v>
      </c>
      <c r="N10" s="9">
        <f>N6+N7-SUM(N8:N9)</f>
        <v>3011.8617382084767</v>
      </c>
    </row>
    <row r="11" spans="1:14" x14ac:dyDescent="0.25">
      <c r="A11" s="6" t="s">
        <v>13</v>
      </c>
      <c r="B11" s="9">
        <f>'Data Sheet'!B29</f>
        <v>419.67</v>
      </c>
      <c r="C11" s="9">
        <f>'Data Sheet'!C29</f>
        <v>514.22</v>
      </c>
      <c r="D11" s="9">
        <f>'Data Sheet'!D29</f>
        <v>612.47</v>
      </c>
      <c r="E11" s="9">
        <f>'Data Sheet'!E29</f>
        <v>450.7</v>
      </c>
      <c r="F11" s="9">
        <f>'Data Sheet'!F29</f>
        <v>663.02</v>
      </c>
      <c r="G11" s="9">
        <f>'Data Sheet'!G29</f>
        <v>562.35</v>
      </c>
      <c r="H11" s="9">
        <f>'Data Sheet'!H29</f>
        <v>716.45</v>
      </c>
      <c r="I11" s="9">
        <f>'Data Sheet'!I29</f>
        <v>779.25</v>
      </c>
      <c r="J11" s="9">
        <f>'Data Sheet'!J29</f>
        <v>748.71</v>
      </c>
      <c r="K11" s="9">
        <f>'Data Sheet'!K29</f>
        <v>751.77</v>
      </c>
      <c r="L11" s="9">
        <f>SUM(Quarters!H11:K11)</f>
        <v>774.85</v>
      </c>
      <c r="M11" s="10">
        <f>IF($L10&gt;0,$L11/$L10,0)</f>
        <v>0.22889950400430117</v>
      </c>
      <c r="N11" s="10">
        <f>IF($L10&gt;0,$L11/$L10,0)</f>
        <v>0.22889950400430117</v>
      </c>
    </row>
    <row r="12" spans="1:14" s="8" customFormat="1" x14ac:dyDescent="0.25">
      <c r="A12" s="8" t="s">
        <v>14</v>
      </c>
      <c r="B12" s="1">
        <f>'Data Sheet'!B30</f>
        <v>884.47</v>
      </c>
      <c r="C12" s="1">
        <f>'Data Sheet'!C30</f>
        <v>1004.23</v>
      </c>
      <c r="D12" s="1">
        <f>'Data Sheet'!D30</f>
        <v>1159.1199999999999</v>
      </c>
      <c r="E12" s="1">
        <f>'Data Sheet'!E30</f>
        <v>1402.63</v>
      </c>
      <c r="F12" s="1">
        <f>'Data Sheet'!F30</f>
        <v>1863.9</v>
      </c>
      <c r="G12" s="1">
        <f>'Data Sheet'!G30</f>
        <v>1524.82</v>
      </c>
      <c r="H12" s="1">
        <f>'Data Sheet'!H30</f>
        <v>2321.77</v>
      </c>
      <c r="I12" s="1">
        <f>'Data Sheet'!I30</f>
        <v>2139.81</v>
      </c>
      <c r="J12" s="1">
        <f>'Data Sheet'!J30</f>
        <v>2178.73</v>
      </c>
      <c r="K12" s="1">
        <f>'Data Sheet'!K30</f>
        <v>2533.4899999999998</v>
      </c>
      <c r="L12" s="1">
        <f>SUM(Quarters!H12:K12)</f>
        <v>2604.12</v>
      </c>
      <c r="M12" s="1">
        <f>M10-M11*M10</f>
        <v>2563.8572177143824</v>
      </c>
      <c r="N12" s="1">
        <f>N10-N11*N10</f>
        <v>2322.4480802030239</v>
      </c>
    </row>
    <row r="13" spans="1:14" x14ac:dyDescent="0.25">
      <c r="A13" s="11" t="s">
        <v>57</v>
      </c>
      <c r="B13" s="9">
        <f>IF('Data Sheet'!B93&gt;0,B12/'Data Sheet'!B93,0)</f>
        <v>36.852916666666665</v>
      </c>
      <c r="C13" s="9">
        <f>IF('Data Sheet'!C93&gt;0,C12/'Data Sheet'!C93,0)</f>
        <v>41.825489379425235</v>
      </c>
      <c r="D13" s="9">
        <f>IF('Data Sheet'!D93&gt;0,D12/'Data Sheet'!D93,0)</f>
        <v>48.236371202663328</v>
      </c>
      <c r="E13" s="9">
        <f>IF('Data Sheet'!E93&gt;0,E12/'Data Sheet'!E93,0)</f>
        <v>58.321413721413727</v>
      </c>
      <c r="F13" s="9">
        <f>IF('Data Sheet'!F93&gt;0,F12/'Data Sheet'!F93,0)</f>
        <v>77.372353673723538</v>
      </c>
      <c r="G13" s="9">
        <f>IF('Data Sheet'!G93&gt;0,G12/'Data Sheet'!G93,0)</f>
        <v>63.296803652968038</v>
      </c>
      <c r="H13" s="9">
        <f>IF('Data Sheet'!H93&gt;0,H12/'Data Sheet'!H93,0)</f>
        <v>96.378995433789953</v>
      </c>
      <c r="I13" s="9">
        <f>IF('Data Sheet'!I93&gt;0,I12/'Data Sheet'!I93,0)</f>
        <v>88.825653798256539</v>
      </c>
      <c r="J13" s="9">
        <f>IF('Data Sheet'!J93&gt;0,J12/'Data Sheet'!J93,0)</f>
        <v>90.441261934412623</v>
      </c>
      <c r="K13" s="9">
        <f>IF('Data Sheet'!K93&gt;0,K12/'Data Sheet'!K93,0)</f>
        <v>105.16770444167703</v>
      </c>
      <c r="L13" s="9">
        <f>IF('Data Sheet'!$B6&gt;0,'Profit &amp; Loss'!L12/'Data Sheet'!$B6,0)</f>
        <v>108.11390532054038</v>
      </c>
      <c r="M13" s="9">
        <f>IF('Data Sheet'!$B6&gt;0,'Profit &amp; Loss'!M12/'Data Sheet'!$B6,0)</f>
        <v>106.44233617934536</v>
      </c>
      <c r="N13" s="9">
        <f>IF('Data Sheet'!$B6&gt;0,'Profit &amp; Loss'!N12/'Data Sheet'!$B6,0)</f>
        <v>96.419877676505124</v>
      </c>
    </row>
    <row r="14" spans="1:14" x14ac:dyDescent="0.25">
      <c r="A14" s="6" t="s">
        <v>16</v>
      </c>
      <c r="B14" s="9">
        <f>IF(B15&gt;0,B15/B13,"")</f>
        <v>45.776566757493192</v>
      </c>
      <c r="C14" s="9">
        <f t="shared" ref="C14:K14" si="2">IF(C15&gt;0,C15/C13,"")</f>
        <v>59.420703424514315</v>
      </c>
      <c r="D14" s="9">
        <f t="shared" si="2"/>
        <v>63.966254572434273</v>
      </c>
      <c r="E14" s="9">
        <f t="shared" si="2"/>
        <v>46.105706779407249</v>
      </c>
      <c r="F14" s="9">
        <f t="shared" si="2"/>
        <v>46.852006277160797</v>
      </c>
      <c r="G14" s="9">
        <f t="shared" si="2"/>
        <v>50.656586351175875</v>
      </c>
      <c r="H14" s="9">
        <f t="shared" si="2"/>
        <v>44.845352252807125</v>
      </c>
      <c r="I14" s="9">
        <f t="shared" si="2"/>
        <v>55.290896154331456</v>
      </c>
      <c r="J14" s="9">
        <f t="shared" si="2"/>
        <v>54.58681020594566</v>
      </c>
      <c r="K14" s="9">
        <f t="shared" si="2"/>
        <v>51.565259779987294</v>
      </c>
      <c r="L14" s="9">
        <f t="shared" ref="L14" si="3">IF(L13&gt;0,L15/L13,0)</f>
        <v>46.340015053069756</v>
      </c>
      <c r="M14" s="9">
        <f>M25</f>
        <v>51.945745298333541</v>
      </c>
      <c r="N14" s="9">
        <f>N25</f>
        <v>46.340015053069756</v>
      </c>
    </row>
    <row r="15" spans="1:14" s="8" customFormat="1" x14ac:dyDescent="0.25">
      <c r="A15" s="8" t="s">
        <v>58</v>
      </c>
      <c r="B15" s="1">
        <f>'Data Sheet'!B90</f>
        <v>1687</v>
      </c>
      <c r="C15" s="1">
        <f>'Data Sheet'!C90</f>
        <v>2485.3000000000002</v>
      </c>
      <c r="D15" s="1">
        <f>'Data Sheet'!D90</f>
        <v>3085.5</v>
      </c>
      <c r="E15" s="1">
        <f>'Data Sheet'!E90</f>
        <v>2688.95</v>
      </c>
      <c r="F15" s="1">
        <f>'Data Sheet'!F90</f>
        <v>3625.05</v>
      </c>
      <c r="G15" s="1">
        <f>'Data Sheet'!G90</f>
        <v>3206.4</v>
      </c>
      <c r="H15" s="1">
        <f>'Data Sheet'!H90</f>
        <v>4322.1499999999996</v>
      </c>
      <c r="I15" s="1">
        <f>'Data Sheet'!I90</f>
        <v>4911.25</v>
      </c>
      <c r="J15" s="1">
        <f>'Data Sheet'!J90</f>
        <v>4936.8999999999996</v>
      </c>
      <c r="K15" s="1">
        <f>'Data Sheet'!K90</f>
        <v>5423</v>
      </c>
      <c r="L15" s="1">
        <f>'Data Sheet'!B8</f>
        <v>5010</v>
      </c>
      <c r="M15" s="12">
        <f>M13*M14</f>
        <v>5529.2264841318674</v>
      </c>
      <c r="N15" s="13">
        <f>N13*N14</f>
        <v>4468.0985829443916</v>
      </c>
    </row>
    <row r="16" spans="1:14" x14ac:dyDescent="0.25">
      <c r="A16" s="8" t="s">
        <v>18</v>
      </c>
      <c r="B16" s="69">
        <f>B6/B4</f>
        <v>0.14117155893082578</v>
      </c>
      <c r="C16" s="69">
        <f t="shared" ref="C16:N16" si="4">C6/C4</f>
        <v>0.15144961816584437</v>
      </c>
      <c r="D16" s="69">
        <f t="shared" si="4"/>
        <v>0.15671657317676607</v>
      </c>
      <c r="E16" s="69">
        <f t="shared" si="4"/>
        <v>0.15890099184882175</v>
      </c>
      <c r="F16" s="69">
        <f t="shared" si="4"/>
        <v>0.19102186791553691</v>
      </c>
      <c r="G16" s="69">
        <f t="shared" si="4"/>
        <v>0.15572082007546559</v>
      </c>
      <c r="H16" s="69">
        <f t="shared" si="4"/>
        <v>0.17366960010551791</v>
      </c>
      <c r="I16" s="69">
        <f t="shared" si="4"/>
        <v>0.18883648483207663</v>
      </c>
      <c r="J16" s="69">
        <f t="shared" si="4"/>
        <v>0.1770310661679671</v>
      </c>
      <c r="K16" s="69">
        <f t="shared" si="4"/>
        <v>0.1835012132151953</v>
      </c>
      <c r="L16" s="69">
        <f t="shared" si="4"/>
        <v>0.18436158108773776</v>
      </c>
      <c r="M16" s="69">
        <f t="shared" si="4"/>
        <v>0.18436158108773776</v>
      </c>
      <c r="N16" s="69">
        <f t="shared" si="4"/>
        <v>0.17082121675452641</v>
      </c>
    </row>
    <row r="17" spans="1:14" s="8" customFormat="1" x14ac:dyDescent="0.25">
      <c r="A17" s="8" t="s">
        <v>15</v>
      </c>
    </row>
    <row r="18" spans="1:14" x14ac:dyDescent="0.25">
      <c r="A18" s="6" t="s">
        <v>17</v>
      </c>
      <c r="B18" s="7">
        <f>IF('Data Sheet'!B30&gt;0, 'Data Sheet'!B31/'Data Sheet'!B30, 0)</f>
        <v>0.29848383777855664</v>
      </c>
      <c r="C18" s="7">
        <f>IF('Data Sheet'!C30&gt;0, 'Data Sheet'!C31/'Data Sheet'!C30, 0)</f>
        <v>0.2988558397976559</v>
      </c>
      <c r="D18" s="7">
        <f>IF('Data Sheet'!D30&gt;0, 'Data Sheet'!D31/'Data Sheet'!D30, 0)</f>
        <v>0.31096866588446409</v>
      </c>
      <c r="E18" s="7">
        <f>IF('Data Sheet'!E30&gt;0, 'Data Sheet'!E31/'Data Sheet'!E30, 0)</f>
        <v>0.60012262677969241</v>
      </c>
      <c r="F18" s="7">
        <f>IF('Data Sheet'!F30&gt;0, 'Data Sheet'!F31/'Data Sheet'!F30, 0)</f>
        <v>2.0356134985782499</v>
      </c>
      <c r="G18" s="7">
        <f>IF('Data Sheet'!G30&gt;0, 'Data Sheet'!G31/'Data Sheet'!G30, 0)</f>
        <v>0.89261683346231024</v>
      </c>
      <c r="H18" s="7">
        <f>IF('Data Sheet'!H30&gt;0, 'Data Sheet'!H31/'Data Sheet'!H30, 0)</f>
        <v>0.74705074146017914</v>
      </c>
      <c r="I18" s="7">
        <f>IF('Data Sheet'!I30&gt;0, 'Data Sheet'!I31/'Data Sheet'!I30, 0)</f>
        <v>0.82746598997107212</v>
      </c>
      <c r="J18" s="7">
        <f>IF('Data Sheet'!J30&gt;0, 'Data Sheet'!J31/'Data Sheet'!J30, 0)</f>
        <v>0.82926750905343938</v>
      </c>
      <c r="K18" s="7">
        <f>IF('Data Sheet'!K30&gt;0, 'Data Sheet'!K31/'Data Sheet'!K30, 0)</f>
        <v>0.86052836206181993</v>
      </c>
    </row>
    <row r="19" spans="1:14" x14ac:dyDescent="0.25">
      <c r="A19" s="6" t="s">
        <v>18</v>
      </c>
      <c r="B19" s="7">
        <f t="shared" ref="B19:L19" si="5">IF(B6&gt;0,B6/B4,0)</f>
        <v>0.14117155893082578</v>
      </c>
      <c r="C19" s="7">
        <f t="shared" ref="C19:K19" si="6">IF(C6&gt;0,C6/C4,0)</f>
        <v>0.15144961816584437</v>
      </c>
      <c r="D19" s="7">
        <f t="shared" si="6"/>
        <v>0.15671657317676607</v>
      </c>
      <c r="E19" s="7">
        <f t="shared" si="6"/>
        <v>0.15890099184882175</v>
      </c>
      <c r="F19" s="7">
        <f t="shared" si="6"/>
        <v>0.19102186791553691</v>
      </c>
      <c r="G19" s="7">
        <f t="shared" si="6"/>
        <v>0.15572082007546559</v>
      </c>
      <c r="H19" s="7">
        <f t="shared" si="6"/>
        <v>0.17366960010551791</v>
      </c>
      <c r="I19" s="7">
        <f t="shared" si="6"/>
        <v>0.18883648483207663</v>
      </c>
      <c r="J19" s="7">
        <f t="shared" si="6"/>
        <v>0.1770310661679671</v>
      </c>
      <c r="K19" s="7">
        <f t="shared" si="6"/>
        <v>0.1835012132151953</v>
      </c>
      <c r="L19" s="7">
        <f t="shared" si="5"/>
        <v>0.18436158108773776</v>
      </c>
    </row>
    <row r="20" spans="1:14" x14ac:dyDescent="0.2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5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5">
      <c r="A23" s="6"/>
      <c r="B23" s="6"/>
      <c r="C23" s="6"/>
      <c r="D23" s="6"/>
      <c r="E23" s="6"/>
      <c r="F23" s="6"/>
      <c r="G23" s="6" t="s">
        <v>22</v>
      </c>
      <c r="H23" s="7">
        <f>IF(B4=0,"",POWER($K4/B4,1/9)-1)</f>
        <v>8.6803714984343694E-2</v>
      </c>
      <c r="I23" s="7">
        <f>IF(D4=0,"",POWER($K4/D4,1/7)-1)</f>
        <v>8.1668420106524087E-2</v>
      </c>
      <c r="J23" s="7">
        <f>IF(F4=0,"",POWER($K4/F4,1/5)-1)</f>
        <v>7.8319387142060215E-2</v>
      </c>
      <c r="K23" s="7">
        <f>IF(H4=0,"",POWER($K4/H4, 1/3)-1)</f>
        <v>5.5198566358045209E-2</v>
      </c>
      <c r="L23" s="7">
        <f>IF(ISERROR(MAX(IF(J4=0,"",(K4-J4)/J4),IF(K4=0,"",(L4-K4)/K4))),"",MAX(IF(J4=0,"",(K4-J4)/J4),IF(K4=0,"",(L4-K4)/K4)))</f>
        <v>6.737681738559545E-2</v>
      </c>
      <c r="M23" s="22">
        <f>MAX(K23:L23)</f>
        <v>6.737681738559545E-2</v>
      </c>
      <c r="N23" s="22">
        <f>MIN(H23:L23)</f>
        <v>5.5198566358045209E-2</v>
      </c>
    </row>
    <row r="24" spans="1:14" x14ac:dyDescent="0.25">
      <c r="G24" s="6" t="s">
        <v>18</v>
      </c>
      <c r="H24" s="7">
        <f>IF(SUM(B4:$K$4)=0,"",SUMPRODUCT(B19:$K$19,B4:$K$4)/SUM(B4:$K$4))</f>
        <v>0.17082121675452641</v>
      </c>
      <c r="I24" s="7">
        <f>IF(SUM(E4:$K$4)=0,"",SUMPRODUCT(E19:$K$19,E4:$K$4)/SUM(E4:$K$4))</f>
        <v>0.17647460201916743</v>
      </c>
      <c r="J24" s="7">
        <f>IF(SUM(G4:$K$4)=0,"",SUMPRODUCT(G19:$K$19,G4:$K$4)/SUM(G4:$K$4))</f>
        <v>0.17662585939748285</v>
      </c>
      <c r="K24" s="7">
        <f>IF(SUM(I4:$K$4)=0, "", SUMPRODUCT(I19:$K$19,I4:$K$4)/SUM(I4:$K$4))</f>
        <v>0.18300694365928111</v>
      </c>
      <c r="L24" s="7">
        <f>L19</f>
        <v>0.18436158108773776</v>
      </c>
      <c r="M24" s="22">
        <f>MAX(K24:L24)</f>
        <v>0.18436158108773776</v>
      </c>
      <c r="N24" s="22">
        <f>MIN(H24:L24)</f>
        <v>0.17082121675452641</v>
      </c>
    </row>
    <row r="25" spans="1:14" x14ac:dyDescent="0.25">
      <c r="G25" s="6" t="s">
        <v>23</v>
      </c>
      <c r="H25" s="9">
        <f>IF(ISERROR(AVERAGEIF(B14:$L14,"&gt;0")),"",AVERAGEIF(B14:$L14,"&gt;0"))</f>
        <v>51.400559782575186</v>
      </c>
      <c r="I25" s="9">
        <f>IF(ISERROR(AVERAGEIF(E14:$L14,"&gt;0")),"",AVERAGEIF(E14:$L14,"&gt;0"))</f>
        <v>49.53032910673565</v>
      </c>
      <c r="J25" s="9">
        <f>IF(ISERROR(AVERAGEIF(G14:$L14,"&gt;0")),"",AVERAGEIF(G14:$L14,"&gt;0"))</f>
        <v>50.547486632886198</v>
      </c>
      <c r="K25" s="9">
        <f>IF(ISERROR(AVERAGEIF(I14:$L14,"&gt;0")),"",AVERAGEIF(I14:$L14,"&gt;0"))</f>
        <v>51.945745298333541</v>
      </c>
      <c r="L25" s="9">
        <f>L14</f>
        <v>46.340015053069756</v>
      </c>
      <c r="M25" s="1">
        <f>MAX(K25:L25)</f>
        <v>51.945745298333541</v>
      </c>
      <c r="N25" s="1">
        <f>MIN(H25:L25)</f>
        <v>46.340015053069756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D53" activePane="bottomRight" state="frozen"/>
      <selection activeCell="C4" sqref="C4"/>
      <selection pane="topRight" activeCell="C4" sqref="C4"/>
      <selection pane="bottomLeft" activeCell="C4" sqref="C4"/>
      <selection pane="bottomRight" activeCell="A6" sqref="A6"/>
    </sheetView>
  </sheetViews>
  <sheetFormatPr defaultColWidth="8.85546875" defaultRowHeight="15" x14ac:dyDescent="0.25"/>
  <cols>
    <col min="1" max="1" width="27.7109375" style="5" bestFit="1" customWidth="1"/>
    <col min="2" max="11" width="13.42578125" style="5" bestFit="1" customWidth="1"/>
    <col min="12" max="16384" width="8.85546875" style="5"/>
  </cols>
  <sheetData>
    <row r="1" spans="1:11" s="1" customFormat="1" x14ac:dyDescent="0.25">
      <c r="A1" s="1" t="s">
        <v>0</v>
      </c>
      <c r="B1" s="1" t="s">
        <v>63</v>
      </c>
      <c r="E1" s="77" t="str">
        <f>IF(B2&lt;&gt;B3, "A NEW VERSION OF THE WORKSHEET IS AVAILABLE", "")</f>
        <v/>
      </c>
      <c r="F1" s="77"/>
      <c r="G1" s="77"/>
      <c r="H1" s="77"/>
      <c r="I1" s="77"/>
      <c r="J1" s="77"/>
      <c r="K1" s="77"/>
    </row>
    <row r="2" spans="1:11" x14ac:dyDescent="0.25">
      <c r="A2" s="1" t="s">
        <v>61</v>
      </c>
      <c r="B2" s="5">
        <v>2.1</v>
      </c>
      <c r="E2" s="78" t="s">
        <v>36</v>
      </c>
      <c r="F2" s="78"/>
      <c r="G2" s="78"/>
      <c r="H2" s="78"/>
      <c r="I2" s="78"/>
      <c r="J2" s="78"/>
      <c r="K2" s="78"/>
    </row>
    <row r="3" spans="1:11" x14ac:dyDescent="0.25">
      <c r="A3" s="1" t="s">
        <v>62</v>
      </c>
      <c r="B3" s="5">
        <v>2.1</v>
      </c>
    </row>
    <row r="4" spans="1:11" x14ac:dyDescent="0.25">
      <c r="A4" s="1"/>
    </row>
    <row r="5" spans="1:11" x14ac:dyDescent="0.25">
      <c r="A5" s="1" t="s">
        <v>64</v>
      </c>
    </row>
    <row r="6" spans="1:11" x14ac:dyDescent="0.25">
      <c r="A6" s="5" t="s">
        <v>42</v>
      </c>
      <c r="B6" s="5">
        <f>IF(B9&gt;0, B9/B8, 0)</f>
        <v>24.086818363273455</v>
      </c>
    </row>
    <row r="7" spans="1:11" x14ac:dyDescent="0.25">
      <c r="A7" s="5" t="s">
        <v>31</v>
      </c>
      <c r="B7">
        <v>1</v>
      </c>
    </row>
    <row r="8" spans="1:11" x14ac:dyDescent="0.25">
      <c r="A8" s="5" t="s">
        <v>43</v>
      </c>
      <c r="B8">
        <v>5010</v>
      </c>
    </row>
    <row r="9" spans="1:11" x14ac:dyDescent="0.25">
      <c r="A9" s="5" t="s">
        <v>79</v>
      </c>
      <c r="B9">
        <v>120674.96</v>
      </c>
    </row>
    <row r="15" spans="1:11" x14ac:dyDescent="0.25">
      <c r="A15" s="1" t="s">
        <v>37</v>
      </c>
    </row>
    <row r="16" spans="1:11" s="24" customFormat="1" x14ac:dyDescent="0.25">
      <c r="A16" s="23" t="s">
        <v>38</v>
      </c>
      <c r="B16" s="16">
        <v>42825</v>
      </c>
      <c r="C16" s="16">
        <v>43190</v>
      </c>
      <c r="D16" s="16">
        <v>43555</v>
      </c>
      <c r="E16" s="16">
        <v>43921</v>
      </c>
      <c r="F16" s="16">
        <v>44286</v>
      </c>
      <c r="G16" s="16">
        <v>44651</v>
      </c>
      <c r="H16" s="16">
        <v>45016</v>
      </c>
      <c r="I16" s="16">
        <v>45382</v>
      </c>
      <c r="J16" s="16">
        <v>45747</v>
      </c>
      <c r="K16" s="16">
        <v>46112</v>
      </c>
    </row>
    <row r="17" spans="1:11" s="9" customFormat="1" x14ac:dyDescent="0.25">
      <c r="A17" s="9" t="s">
        <v>6</v>
      </c>
      <c r="B17">
        <v>9054.09</v>
      </c>
      <c r="C17">
        <v>9913.99</v>
      </c>
      <c r="D17">
        <v>11054.67</v>
      </c>
      <c r="E17">
        <v>11599.55</v>
      </c>
      <c r="F17">
        <v>13136.14</v>
      </c>
      <c r="G17">
        <v>14136.26</v>
      </c>
      <c r="H17">
        <v>16300.55</v>
      </c>
      <c r="I17">
        <v>16769.27</v>
      </c>
      <c r="J17">
        <v>17942.669999999998</v>
      </c>
      <c r="K17">
        <v>19151.59</v>
      </c>
    </row>
    <row r="18" spans="1:11" s="9" customFormat="1" x14ac:dyDescent="0.25">
      <c r="A18" s="5" t="s">
        <v>80</v>
      </c>
      <c r="B18">
        <v>5642.88</v>
      </c>
      <c r="C18">
        <v>6100.8</v>
      </c>
      <c r="D18">
        <v>6616.64</v>
      </c>
      <c r="E18">
        <v>6874.9</v>
      </c>
      <c r="F18">
        <v>7663.22</v>
      </c>
      <c r="G18">
        <v>8835.56</v>
      </c>
      <c r="H18">
        <v>9663.83</v>
      </c>
      <c r="I18">
        <v>9488.3700000000008</v>
      </c>
      <c r="J18">
        <v>10668.8</v>
      </c>
      <c r="K18">
        <v>11155.25</v>
      </c>
    </row>
    <row r="19" spans="1:11" s="9" customFormat="1" x14ac:dyDescent="0.25">
      <c r="A19" s="5" t="s">
        <v>81</v>
      </c>
      <c r="B19">
        <v>54.2</v>
      </c>
      <c r="C19">
        <v>-6.3</v>
      </c>
      <c r="D19">
        <v>55.18</v>
      </c>
      <c r="E19">
        <v>-52.57</v>
      </c>
      <c r="F19">
        <v>37.119999999999997</v>
      </c>
      <c r="G19">
        <v>75.260000000000005</v>
      </c>
      <c r="H19">
        <v>72.53</v>
      </c>
      <c r="I19">
        <v>-3.66</v>
      </c>
      <c r="J19">
        <v>64.75</v>
      </c>
      <c r="K19">
        <v>22.37</v>
      </c>
    </row>
    <row r="20" spans="1:11" s="9" customFormat="1" x14ac:dyDescent="0.25">
      <c r="A20" s="5" t="s">
        <v>82</v>
      </c>
      <c r="B20">
        <v>104.28</v>
      </c>
      <c r="C20">
        <v>128.83000000000001</v>
      </c>
      <c r="D20">
        <v>175.17</v>
      </c>
      <c r="E20">
        <v>177.7</v>
      </c>
      <c r="F20">
        <v>182.29</v>
      </c>
      <c r="G20">
        <v>217.68</v>
      </c>
      <c r="H20">
        <v>272.2</v>
      </c>
      <c r="I20">
        <v>327.25</v>
      </c>
      <c r="J20">
        <v>357.98</v>
      </c>
      <c r="K20">
        <v>342.87</v>
      </c>
    </row>
    <row r="21" spans="1:11" s="9" customFormat="1" x14ac:dyDescent="0.25">
      <c r="A21" s="5" t="s">
        <v>83</v>
      </c>
      <c r="B21">
        <v>509.93</v>
      </c>
      <c r="C21">
        <v>487.59</v>
      </c>
      <c r="D21">
        <v>621.32000000000005</v>
      </c>
      <c r="E21">
        <v>610.67999999999995</v>
      </c>
      <c r="F21">
        <v>672.21</v>
      </c>
      <c r="G21">
        <v>752.29</v>
      </c>
      <c r="H21">
        <v>893.75</v>
      </c>
      <c r="I21">
        <v>876.12</v>
      </c>
      <c r="J21">
        <v>954.03</v>
      </c>
      <c r="K21">
        <v>920.68</v>
      </c>
    </row>
    <row r="22" spans="1:11" s="9" customFormat="1" x14ac:dyDescent="0.25">
      <c r="A22" s="5" t="s">
        <v>84</v>
      </c>
      <c r="B22">
        <v>352.61</v>
      </c>
      <c r="C22">
        <v>401.6</v>
      </c>
      <c r="D22">
        <v>441.82</v>
      </c>
      <c r="E22">
        <v>486.69</v>
      </c>
      <c r="F22">
        <v>527.38</v>
      </c>
      <c r="G22">
        <v>542.26</v>
      </c>
      <c r="H22">
        <v>658.38</v>
      </c>
      <c r="I22">
        <v>708.7</v>
      </c>
      <c r="J22">
        <v>704.59</v>
      </c>
      <c r="K22">
        <v>823.8</v>
      </c>
    </row>
    <row r="23" spans="1:11" s="9" customFormat="1" x14ac:dyDescent="0.25">
      <c r="A23" s="5" t="s">
        <v>85</v>
      </c>
      <c r="B23">
        <v>915.01</v>
      </c>
      <c r="C23">
        <v>953.48</v>
      </c>
      <c r="D23">
        <v>1107.49</v>
      </c>
      <c r="E23">
        <v>1125.23</v>
      </c>
      <c r="F23">
        <v>1163.82</v>
      </c>
      <c r="G23">
        <v>1187.32</v>
      </c>
      <c r="H23">
        <v>1473.86</v>
      </c>
      <c r="I23">
        <v>1525.52</v>
      </c>
      <c r="J23">
        <v>1360</v>
      </c>
      <c r="K23">
        <v>1575.23</v>
      </c>
    </row>
    <row r="24" spans="1:11" s="9" customFormat="1" x14ac:dyDescent="0.25">
      <c r="A24" s="5" t="s">
        <v>86</v>
      </c>
      <c r="B24">
        <v>305.39999999999998</v>
      </c>
      <c r="C24">
        <v>333.92</v>
      </c>
      <c r="D24">
        <v>414.96</v>
      </c>
      <c r="E24">
        <v>428.6</v>
      </c>
      <c r="F24">
        <v>455.05</v>
      </c>
      <c r="G24">
        <v>475.1</v>
      </c>
      <c r="H24">
        <v>580.15</v>
      </c>
      <c r="I24">
        <v>673</v>
      </c>
      <c r="J24">
        <v>785.61</v>
      </c>
      <c r="K24">
        <v>841.79</v>
      </c>
    </row>
    <row r="25" spans="1:11" s="9" customFormat="1" x14ac:dyDescent="0.25">
      <c r="A25" s="9" t="s">
        <v>9</v>
      </c>
      <c r="B25">
        <v>150.54</v>
      </c>
      <c r="C25">
        <v>166.37</v>
      </c>
      <c r="D25">
        <v>206.45</v>
      </c>
      <c r="E25">
        <v>262.83</v>
      </c>
      <c r="F25">
        <v>313.07</v>
      </c>
      <c r="G25">
        <v>221.85</v>
      </c>
      <c r="H25">
        <v>596.87</v>
      </c>
      <c r="I25">
        <v>211.28</v>
      </c>
      <c r="J25">
        <v>202.3</v>
      </c>
      <c r="K25">
        <v>224.03</v>
      </c>
    </row>
    <row r="26" spans="1:11" s="9" customFormat="1" x14ac:dyDescent="0.25">
      <c r="A26" s="9" t="s">
        <v>10</v>
      </c>
      <c r="B26">
        <v>119.27</v>
      </c>
      <c r="C26">
        <v>142.07</v>
      </c>
      <c r="D26">
        <v>161.88</v>
      </c>
      <c r="E26">
        <v>184.81</v>
      </c>
      <c r="F26">
        <v>197.85</v>
      </c>
      <c r="G26">
        <v>200.54</v>
      </c>
      <c r="H26">
        <v>225.91</v>
      </c>
      <c r="I26">
        <v>300.45999999999998</v>
      </c>
      <c r="J26">
        <v>313.33999999999997</v>
      </c>
      <c r="K26">
        <v>336.83</v>
      </c>
    </row>
    <row r="27" spans="1:11" s="9" customFormat="1" x14ac:dyDescent="0.25">
      <c r="A27" s="9" t="s">
        <v>11</v>
      </c>
      <c r="B27">
        <v>5.45</v>
      </c>
      <c r="C27">
        <v>7.59</v>
      </c>
      <c r="D27">
        <v>9.09</v>
      </c>
      <c r="E27">
        <v>76.900000000000006</v>
      </c>
      <c r="F27">
        <v>110.9</v>
      </c>
      <c r="G27">
        <v>144.29</v>
      </c>
      <c r="H27">
        <v>169.1</v>
      </c>
      <c r="I27">
        <v>164</v>
      </c>
      <c r="J27">
        <v>138.80000000000001</v>
      </c>
      <c r="K27">
        <v>112.76</v>
      </c>
    </row>
    <row r="28" spans="1:11" s="9" customFormat="1" x14ac:dyDescent="0.25">
      <c r="A28" s="9" t="s">
        <v>12</v>
      </c>
      <c r="B28">
        <v>1304</v>
      </c>
      <c r="C28">
        <v>1518.18</v>
      </c>
      <c r="D28">
        <v>1767.93</v>
      </c>
      <c r="E28">
        <v>1844.3</v>
      </c>
      <c r="F28">
        <v>2513.61</v>
      </c>
      <c r="G28">
        <v>2078.33</v>
      </c>
      <c r="H28">
        <v>3032.77</v>
      </c>
      <c r="I28">
        <v>2913.47</v>
      </c>
      <c r="J28">
        <v>2926.57</v>
      </c>
      <c r="K28">
        <v>3288.78</v>
      </c>
    </row>
    <row r="29" spans="1:11" s="9" customFormat="1" x14ac:dyDescent="0.25">
      <c r="A29" s="9" t="s">
        <v>13</v>
      </c>
      <c r="B29">
        <v>419.67</v>
      </c>
      <c r="C29">
        <v>514.22</v>
      </c>
      <c r="D29">
        <v>612.47</v>
      </c>
      <c r="E29">
        <v>450.7</v>
      </c>
      <c r="F29">
        <v>663.02</v>
      </c>
      <c r="G29">
        <v>562.35</v>
      </c>
      <c r="H29">
        <v>716.45</v>
      </c>
      <c r="I29">
        <v>779.25</v>
      </c>
      <c r="J29">
        <v>748.71</v>
      </c>
      <c r="K29">
        <v>751.77</v>
      </c>
    </row>
    <row r="30" spans="1:11" s="9" customFormat="1" x14ac:dyDescent="0.25">
      <c r="A30" s="9" t="s">
        <v>14</v>
      </c>
      <c r="B30">
        <v>884.47</v>
      </c>
      <c r="C30">
        <v>1004.23</v>
      </c>
      <c r="D30">
        <v>1159.1199999999999</v>
      </c>
      <c r="E30">
        <v>1402.63</v>
      </c>
      <c r="F30">
        <v>1863.9</v>
      </c>
      <c r="G30">
        <v>1524.82</v>
      </c>
      <c r="H30">
        <v>2321.77</v>
      </c>
      <c r="I30">
        <v>2139.81</v>
      </c>
      <c r="J30">
        <v>2178.73</v>
      </c>
      <c r="K30">
        <v>2533.4899999999998</v>
      </c>
    </row>
    <row r="31" spans="1:11" s="9" customFormat="1" x14ac:dyDescent="0.25">
      <c r="A31" s="9" t="s">
        <v>70</v>
      </c>
      <c r="B31">
        <v>264</v>
      </c>
      <c r="C31">
        <v>300.12</v>
      </c>
      <c r="D31">
        <v>360.45</v>
      </c>
      <c r="E31">
        <v>841.75</v>
      </c>
      <c r="F31">
        <v>3794.18</v>
      </c>
      <c r="G31">
        <v>1361.08</v>
      </c>
      <c r="H31">
        <v>1734.48</v>
      </c>
      <c r="I31">
        <v>1770.62</v>
      </c>
      <c r="J31">
        <v>1806.75</v>
      </c>
      <c r="K31">
        <v>2180.14</v>
      </c>
    </row>
    <row r="32" spans="1:11" s="9" customFormat="1" x14ac:dyDescent="0.25"/>
    <row r="33" spans="1:11" x14ac:dyDescent="0.25">
      <c r="A33" s="9"/>
    </row>
    <row r="34" spans="1:11" x14ac:dyDescent="0.25">
      <c r="A34" s="9"/>
    </row>
    <row r="35" spans="1:11" x14ac:dyDescent="0.25">
      <c r="A35" s="9"/>
    </row>
    <row r="36" spans="1:11" x14ac:dyDescent="0.25">
      <c r="A36" s="9"/>
    </row>
    <row r="37" spans="1:11" x14ac:dyDescent="0.25">
      <c r="A37" s="9"/>
    </row>
    <row r="38" spans="1:11" x14ac:dyDescent="0.25">
      <c r="A38" s="9"/>
    </row>
    <row r="39" spans="1:11" x14ac:dyDescent="0.25">
      <c r="A39" s="9"/>
    </row>
    <row r="40" spans="1:11" x14ac:dyDescent="0.25">
      <c r="A40" s="1" t="s">
        <v>39</v>
      </c>
    </row>
    <row r="41" spans="1:11" s="24" customFormat="1" x14ac:dyDescent="0.25">
      <c r="A41" s="23" t="s">
        <v>38</v>
      </c>
      <c r="B41" s="16">
        <v>45382</v>
      </c>
      <c r="C41" s="16">
        <v>45473</v>
      </c>
      <c r="D41" s="16">
        <v>45565</v>
      </c>
      <c r="E41" s="16">
        <v>45657</v>
      </c>
      <c r="F41" s="16">
        <v>45747</v>
      </c>
      <c r="G41" s="16">
        <v>45838</v>
      </c>
      <c r="H41" s="16">
        <v>45930</v>
      </c>
      <c r="I41" s="16">
        <v>46022</v>
      </c>
      <c r="J41" s="16">
        <v>46112</v>
      </c>
      <c r="K41" s="16">
        <v>46203</v>
      </c>
    </row>
    <row r="42" spans="1:11" s="9" customFormat="1" x14ac:dyDescent="0.25">
      <c r="A42" s="9" t="s">
        <v>6</v>
      </c>
      <c r="B42">
        <v>4069.36</v>
      </c>
      <c r="C42">
        <v>4250.29</v>
      </c>
      <c r="D42">
        <v>4667.57</v>
      </c>
      <c r="E42">
        <v>4592.6099999999997</v>
      </c>
      <c r="F42">
        <v>4432.1899999999996</v>
      </c>
      <c r="G42">
        <v>4622.22</v>
      </c>
      <c r="H42">
        <v>4840.63</v>
      </c>
      <c r="I42">
        <v>4969.82</v>
      </c>
      <c r="J42">
        <v>4718.92</v>
      </c>
      <c r="K42">
        <v>4999.97</v>
      </c>
    </row>
    <row r="43" spans="1:11" s="9" customFormat="1" x14ac:dyDescent="0.25">
      <c r="A43" s="9" t="s">
        <v>7</v>
      </c>
      <c r="B43">
        <v>3285.71</v>
      </c>
      <c r="C43">
        <v>3497.28</v>
      </c>
      <c r="D43">
        <v>3887.56</v>
      </c>
      <c r="E43">
        <v>3749.75</v>
      </c>
      <c r="F43">
        <v>3631.67</v>
      </c>
      <c r="G43">
        <v>3870.02</v>
      </c>
      <c r="H43">
        <v>3889.39</v>
      </c>
      <c r="I43">
        <v>3992.49</v>
      </c>
      <c r="J43">
        <v>3885.35</v>
      </c>
      <c r="K43">
        <v>4161.6499999999996</v>
      </c>
    </row>
    <row r="44" spans="1:11" s="9" customFormat="1" x14ac:dyDescent="0.25">
      <c r="A44" s="9" t="s">
        <v>9</v>
      </c>
      <c r="B44">
        <v>57.34</v>
      </c>
      <c r="C44">
        <v>30.97</v>
      </c>
      <c r="D44">
        <v>45.85</v>
      </c>
      <c r="E44">
        <v>62.46</v>
      </c>
      <c r="F44">
        <v>63.02</v>
      </c>
      <c r="G44">
        <v>57.01</v>
      </c>
      <c r="H44">
        <v>52.11</v>
      </c>
      <c r="I44">
        <v>59.46</v>
      </c>
      <c r="J44">
        <v>55.45</v>
      </c>
      <c r="K44">
        <v>61.41</v>
      </c>
    </row>
    <row r="45" spans="1:11" s="9" customFormat="1" x14ac:dyDescent="0.25">
      <c r="A45" s="9" t="s">
        <v>10</v>
      </c>
      <c r="B45">
        <v>79.930000000000007</v>
      </c>
      <c r="C45">
        <v>73.930000000000007</v>
      </c>
      <c r="D45">
        <v>76.069999999999993</v>
      </c>
      <c r="E45">
        <v>82.38</v>
      </c>
      <c r="F45">
        <v>80.959999999999994</v>
      </c>
      <c r="G45">
        <v>82.04</v>
      </c>
      <c r="H45">
        <v>85.05</v>
      </c>
      <c r="I45">
        <v>84.51</v>
      </c>
      <c r="J45">
        <v>85.23</v>
      </c>
      <c r="K45">
        <v>79.510000000000005</v>
      </c>
    </row>
    <row r="46" spans="1:11" s="9" customFormat="1" x14ac:dyDescent="0.25">
      <c r="A46" s="9" t="s">
        <v>11</v>
      </c>
      <c r="B46">
        <v>26.44</v>
      </c>
      <c r="C46">
        <v>28.95</v>
      </c>
      <c r="D46">
        <v>34.64</v>
      </c>
      <c r="E46">
        <v>44.56</v>
      </c>
      <c r="F46">
        <v>30.65</v>
      </c>
      <c r="G46">
        <v>26.15</v>
      </c>
      <c r="H46">
        <v>34.68</v>
      </c>
      <c r="I46">
        <v>33.25</v>
      </c>
      <c r="J46">
        <v>18.68</v>
      </c>
      <c r="K46">
        <v>22.87</v>
      </c>
    </row>
    <row r="47" spans="1:11" s="9" customFormat="1" x14ac:dyDescent="0.25">
      <c r="A47" s="9" t="s">
        <v>12</v>
      </c>
      <c r="B47">
        <v>734.62</v>
      </c>
      <c r="C47">
        <v>681.1</v>
      </c>
      <c r="D47">
        <v>715.15</v>
      </c>
      <c r="E47">
        <v>778.38</v>
      </c>
      <c r="F47">
        <v>751.93</v>
      </c>
      <c r="G47">
        <v>701.02</v>
      </c>
      <c r="H47">
        <v>883.62</v>
      </c>
      <c r="I47">
        <v>919.03</v>
      </c>
      <c r="J47">
        <v>785.11</v>
      </c>
      <c r="K47">
        <v>797.35</v>
      </c>
    </row>
    <row r="48" spans="1:11" s="9" customFormat="1" x14ac:dyDescent="0.25">
      <c r="A48" s="9" t="s">
        <v>13</v>
      </c>
      <c r="B48">
        <v>198.01</v>
      </c>
      <c r="C48">
        <v>176.22</v>
      </c>
      <c r="D48">
        <v>183.6</v>
      </c>
      <c r="E48">
        <v>196.08</v>
      </c>
      <c r="F48">
        <v>192.8</v>
      </c>
      <c r="G48">
        <v>180.89</v>
      </c>
      <c r="H48">
        <v>228.56</v>
      </c>
      <c r="I48">
        <v>236.89</v>
      </c>
      <c r="J48">
        <v>105.43</v>
      </c>
      <c r="K48">
        <v>203.97</v>
      </c>
    </row>
    <row r="49" spans="1:11" s="9" customFormat="1" x14ac:dyDescent="0.25">
      <c r="A49" s="9" t="s">
        <v>14</v>
      </c>
      <c r="B49">
        <v>538.28</v>
      </c>
      <c r="C49">
        <v>505.64</v>
      </c>
      <c r="D49">
        <v>531.45000000000005</v>
      </c>
      <c r="E49">
        <v>581.69000000000005</v>
      </c>
      <c r="F49">
        <v>559.95000000000005</v>
      </c>
      <c r="G49">
        <v>520.72</v>
      </c>
      <c r="H49">
        <v>654.47</v>
      </c>
      <c r="I49">
        <v>679.96</v>
      </c>
      <c r="J49">
        <v>678.34</v>
      </c>
      <c r="K49">
        <v>591.35</v>
      </c>
    </row>
    <row r="50" spans="1:11" x14ac:dyDescent="0.25">
      <c r="A50" s="9" t="s">
        <v>8</v>
      </c>
      <c r="B50">
        <v>783.65</v>
      </c>
      <c r="C50">
        <v>753.01</v>
      </c>
      <c r="D50">
        <v>780.01</v>
      </c>
      <c r="E50">
        <v>842.86</v>
      </c>
      <c r="F50">
        <v>800.52</v>
      </c>
      <c r="G50">
        <v>752.2</v>
      </c>
      <c r="H50">
        <v>951.24</v>
      </c>
      <c r="I50">
        <v>977.33</v>
      </c>
      <c r="J50">
        <v>833.57</v>
      </c>
      <c r="K50">
        <v>838.32</v>
      </c>
    </row>
    <row r="51" spans="1:11" x14ac:dyDescent="0.25">
      <c r="A51" s="9"/>
    </row>
    <row r="52" spans="1:11" x14ac:dyDescent="0.25">
      <c r="A52" s="9"/>
    </row>
    <row r="53" spans="1:11" x14ac:dyDescent="0.25">
      <c r="A53" s="9"/>
    </row>
    <row r="54" spans="1:11" x14ac:dyDescent="0.25">
      <c r="A54" s="9"/>
    </row>
    <row r="55" spans="1:11" x14ac:dyDescent="0.25">
      <c r="A55" s="1" t="s">
        <v>40</v>
      </c>
    </row>
    <row r="56" spans="1:11" s="24" customFormat="1" x14ac:dyDescent="0.25">
      <c r="A56" s="23" t="s">
        <v>38</v>
      </c>
      <c r="B56" s="16">
        <v>42825</v>
      </c>
      <c r="C56" s="16">
        <v>43190</v>
      </c>
      <c r="D56" s="16">
        <v>43555</v>
      </c>
      <c r="E56" s="16">
        <v>43921</v>
      </c>
      <c r="F56" s="16">
        <v>44286</v>
      </c>
      <c r="G56" s="16">
        <v>44651</v>
      </c>
      <c r="H56" s="16">
        <v>45016</v>
      </c>
      <c r="I56" s="16">
        <v>45382</v>
      </c>
      <c r="J56" s="16">
        <v>45747</v>
      </c>
      <c r="K56" s="16">
        <v>46112</v>
      </c>
    </row>
    <row r="57" spans="1:11" x14ac:dyDescent="0.25">
      <c r="A57" s="9" t="s">
        <v>24</v>
      </c>
      <c r="B57">
        <v>24</v>
      </c>
      <c r="C57">
        <v>24.01</v>
      </c>
      <c r="D57">
        <v>24.03</v>
      </c>
      <c r="E57">
        <v>24.05</v>
      </c>
      <c r="F57">
        <v>24.09</v>
      </c>
      <c r="G57">
        <v>24.09</v>
      </c>
      <c r="H57">
        <v>24.09</v>
      </c>
      <c r="I57">
        <v>24.09</v>
      </c>
      <c r="J57">
        <v>24.09</v>
      </c>
      <c r="K57">
        <v>24.09</v>
      </c>
    </row>
    <row r="58" spans="1:11" x14ac:dyDescent="0.25">
      <c r="A58" s="9" t="s">
        <v>25</v>
      </c>
      <c r="B58">
        <v>2672.42</v>
      </c>
      <c r="C58">
        <v>3382.22</v>
      </c>
      <c r="D58">
        <v>4229.22</v>
      </c>
      <c r="E58">
        <v>4378.78</v>
      </c>
      <c r="F58">
        <v>3523.57</v>
      </c>
      <c r="G58">
        <v>2534.0100000000002</v>
      </c>
      <c r="H58">
        <v>3510.18</v>
      </c>
      <c r="I58">
        <v>3917.43</v>
      </c>
      <c r="J58">
        <v>4331.63</v>
      </c>
      <c r="K58">
        <v>5082.47</v>
      </c>
    </row>
    <row r="59" spans="1:11" x14ac:dyDescent="0.25">
      <c r="A59" s="9" t="s">
        <v>71</v>
      </c>
      <c r="B59">
        <v>124.56</v>
      </c>
      <c r="C59">
        <v>200.7</v>
      </c>
      <c r="D59">
        <v>156.02000000000001</v>
      </c>
      <c r="E59">
        <v>1537.59</v>
      </c>
      <c r="F59">
        <v>2106.94</v>
      </c>
      <c r="G59">
        <v>2481.1999999999998</v>
      </c>
      <c r="H59">
        <v>2997.37</v>
      </c>
      <c r="I59">
        <v>2064.96</v>
      </c>
      <c r="J59">
        <v>1246.51</v>
      </c>
      <c r="K59">
        <v>1380.28</v>
      </c>
    </row>
    <row r="60" spans="1:11" x14ac:dyDescent="0.25">
      <c r="A60" s="9" t="s">
        <v>72</v>
      </c>
      <c r="B60">
        <v>1287.82</v>
      </c>
      <c r="C60">
        <v>1580.99</v>
      </c>
      <c r="D60">
        <v>1828.68</v>
      </c>
      <c r="E60">
        <v>1889.12</v>
      </c>
      <c r="F60">
        <v>2345.4899999999998</v>
      </c>
      <c r="G60">
        <v>2487.3000000000002</v>
      </c>
      <c r="H60">
        <v>2819.21</v>
      </c>
      <c r="I60">
        <v>3065.02</v>
      </c>
      <c r="J60">
        <v>3234.52</v>
      </c>
      <c r="K60">
        <v>3243.48</v>
      </c>
    </row>
    <row r="61" spans="1:11" s="1" customFormat="1" x14ac:dyDescent="0.25">
      <c r="A61" s="1" t="s">
        <v>26</v>
      </c>
      <c r="B61">
        <v>4108.8</v>
      </c>
      <c r="C61">
        <v>5187.92</v>
      </c>
      <c r="D61">
        <v>6237.95</v>
      </c>
      <c r="E61">
        <v>7829.54</v>
      </c>
      <c r="F61">
        <v>8000.09</v>
      </c>
      <c r="G61">
        <v>7526.6</v>
      </c>
      <c r="H61">
        <v>9350.85</v>
      </c>
      <c r="I61">
        <v>9071.5</v>
      </c>
      <c r="J61">
        <v>8836.75</v>
      </c>
      <c r="K61">
        <v>9730.32</v>
      </c>
    </row>
    <row r="62" spans="1:11" x14ac:dyDescent="0.25">
      <c r="A62" s="9" t="s">
        <v>27</v>
      </c>
      <c r="B62">
        <v>1159.99</v>
      </c>
      <c r="C62">
        <v>1345.6</v>
      </c>
      <c r="D62">
        <v>1688.3</v>
      </c>
      <c r="E62">
        <v>1878.18</v>
      </c>
      <c r="F62">
        <v>1792.95</v>
      </c>
      <c r="G62">
        <v>1753.21</v>
      </c>
      <c r="H62">
        <v>2655.22</v>
      </c>
      <c r="I62">
        <v>2771.14</v>
      </c>
      <c r="J62">
        <v>2903.8</v>
      </c>
      <c r="K62">
        <v>2849.92</v>
      </c>
    </row>
    <row r="63" spans="1:11" x14ac:dyDescent="0.25">
      <c r="A63" s="9" t="s">
        <v>28</v>
      </c>
      <c r="B63">
        <v>30.07</v>
      </c>
      <c r="C63">
        <v>202.82</v>
      </c>
      <c r="D63">
        <v>101.24</v>
      </c>
      <c r="E63">
        <v>39.549999999999997</v>
      </c>
      <c r="F63">
        <v>116.52</v>
      </c>
      <c r="G63">
        <v>535.67999999999995</v>
      </c>
      <c r="H63">
        <v>105</v>
      </c>
      <c r="I63">
        <v>187.54</v>
      </c>
      <c r="J63">
        <v>89.2</v>
      </c>
      <c r="K63">
        <v>39.04</v>
      </c>
    </row>
    <row r="64" spans="1:11" x14ac:dyDescent="0.25">
      <c r="A64" s="9" t="s">
        <v>29</v>
      </c>
      <c r="B64">
        <v>486.85</v>
      </c>
      <c r="C64">
        <v>1079.28</v>
      </c>
      <c r="D64">
        <v>1476.28</v>
      </c>
      <c r="E64">
        <v>2893.23</v>
      </c>
      <c r="F64">
        <v>2780.69</v>
      </c>
      <c r="G64">
        <v>1762.37</v>
      </c>
      <c r="H64">
        <v>3324.24</v>
      </c>
      <c r="I64">
        <v>2766.72</v>
      </c>
      <c r="J64">
        <v>2865.43</v>
      </c>
      <c r="K64">
        <v>3609.76</v>
      </c>
    </row>
    <row r="65" spans="1:11" x14ac:dyDescent="0.25">
      <c r="A65" s="9" t="s">
        <v>73</v>
      </c>
      <c r="B65">
        <v>2431.89</v>
      </c>
      <c r="C65">
        <v>2560.2199999999998</v>
      </c>
      <c r="D65">
        <v>2972.13</v>
      </c>
      <c r="E65">
        <v>3018.58</v>
      </c>
      <c r="F65">
        <v>3309.93</v>
      </c>
      <c r="G65">
        <v>3475.34</v>
      </c>
      <c r="H65">
        <v>3266.39</v>
      </c>
      <c r="I65">
        <v>3346.1</v>
      </c>
      <c r="J65">
        <v>2978.32</v>
      </c>
      <c r="K65">
        <v>3231.6</v>
      </c>
    </row>
    <row r="66" spans="1:11" s="1" customFormat="1" x14ac:dyDescent="0.25">
      <c r="A66" s="1" t="s">
        <v>26</v>
      </c>
      <c r="B66">
        <v>4108.8</v>
      </c>
      <c r="C66">
        <v>5187.92</v>
      </c>
      <c r="D66">
        <v>6237.95</v>
      </c>
      <c r="E66">
        <v>7829.54</v>
      </c>
      <c r="F66">
        <v>8000.09</v>
      </c>
      <c r="G66">
        <v>7526.6</v>
      </c>
      <c r="H66">
        <v>9350.85</v>
      </c>
      <c r="I66">
        <v>9071.5</v>
      </c>
      <c r="J66">
        <v>8836.75</v>
      </c>
      <c r="K66">
        <v>9730.32</v>
      </c>
    </row>
    <row r="67" spans="1:11" s="9" customFormat="1" x14ac:dyDescent="0.25">
      <c r="A67" s="9" t="s">
        <v>78</v>
      </c>
      <c r="B67">
        <v>179.16</v>
      </c>
      <c r="C67">
        <v>304.60000000000002</v>
      </c>
      <c r="D67">
        <v>394.24</v>
      </c>
      <c r="E67">
        <v>320.36</v>
      </c>
      <c r="F67">
        <v>257.27</v>
      </c>
      <c r="G67">
        <v>331.93</v>
      </c>
      <c r="H67">
        <v>328.94</v>
      </c>
      <c r="I67">
        <v>393.33</v>
      </c>
      <c r="J67">
        <v>448.61</v>
      </c>
      <c r="K67">
        <v>469.21</v>
      </c>
    </row>
    <row r="68" spans="1:11" x14ac:dyDescent="0.25">
      <c r="A68" s="9" t="s">
        <v>45</v>
      </c>
      <c r="B68">
        <v>661.45</v>
      </c>
      <c r="C68">
        <v>652.79</v>
      </c>
      <c r="D68">
        <v>781.38</v>
      </c>
      <c r="E68">
        <v>740.96</v>
      </c>
      <c r="F68">
        <v>1091.49</v>
      </c>
      <c r="G68">
        <v>1367.49</v>
      </c>
      <c r="H68">
        <v>1193.26</v>
      </c>
      <c r="I68">
        <v>1181.22</v>
      </c>
      <c r="J68">
        <v>1236.51</v>
      </c>
      <c r="K68">
        <v>1345.93</v>
      </c>
    </row>
    <row r="69" spans="1:11" x14ac:dyDescent="0.25">
      <c r="A69" s="5" t="s">
        <v>87</v>
      </c>
      <c r="B69">
        <v>120.76</v>
      </c>
      <c r="C69">
        <v>186.42</v>
      </c>
      <c r="D69">
        <v>109.82</v>
      </c>
      <c r="E69">
        <v>122.85</v>
      </c>
      <c r="F69">
        <v>211.34</v>
      </c>
      <c r="G69">
        <v>184.9</v>
      </c>
      <c r="H69">
        <v>197.98</v>
      </c>
      <c r="I69">
        <v>446.35</v>
      </c>
      <c r="J69">
        <v>312.48</v>
      </c>
      <c r="K69">
        <v>352.44</v>
      </c>
    </row>
    <row r="70" spans="1:11" x14ac:dyDescent="0.25">
      <c r="A70" s="5" t="s">
        <v>74</v>
      </c>
      <c r="B70">
        <v>120000815</v>
      </c>
      <c r="C70">
        <v>120059148</v>
      </c>
      <c r="D70">
        <v>240318294</v>
      </c>
      <c r="E70">
        <v>240318294</v>
      </c>
      <c r="F70">
        <v>240868296</v>
      </c>
      <c r="G70">
        <v>240868296</v>
      </c>
      <c r="H70">
        <v>240868296</v>
      </c>
      <c r="I70">
        <v>240868296</v>
      </c>
      <c r="J70">
        <v>240868296</v>
      </c>
      <c r="K70">
        <v>240868296</v>
      </c>
    </row>
    <row r="71" spans="1:11" x14ac:dyDescent="0.25">
      <c r="A71" s="5" t="s">
        <v>75</v>
      </c>
    </row>
    <row r="72" spans="1:11" x14ac:dyDescent="0.25">
      <c r="A72" s="5" t="s">
        <v>88</v>
      </c>
      <c r="B72">
        <v>2</v>
      </c>
      <c r="C72">
        <v>2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25">
      <c r="A74" s="9"/>
    </row>
    <row r="75" spans="1:11" x14ac:dyDescent="0.25">
      <c r="A75" s="9"/>
    </row>
    <row r="76" spans="1:11" x14ac:dyDescent="0.25">
      <c r="A76" s="9"/>
    </row>
    <row r="77" spans="1:11" x14ac:dyDescent="0.25">
      <c r="A77" s="9"/>
    </row>
    <row r="78" spans="1:11" x14ac:dyDescent="0.25">
      <c r="A78" s="9"/>
    </row>
    <row r="79" spans="1:11" x14ac:dyDescent="0.25">
      <c r="A79" s="9"/>
    </row>
    <row r="80" spans="1:11" x14ac:dyDescent="0.25">
      <c r="A80" s="1" t="s">
        <v>41</v>
      </c>
    </row>
    <row r="81" spans="1:11" s="24" customFormat="1" x14ac:dyDescent="0.25">
      <c r="A81" s="23" t="s">
        <v>38</v>
      </c>
      <c r="B81" s="16">
        <v>42825</v>
      </c>
      <c r="C81" s="16">
        <v>43190</v>
      </c>
      <c r="D81" s="16">
        <v>43555</v>
      </c>
      <c r="E81" s="16">
        <v>43921</v>
      </c>
      <c r="F81" s="16">
        <v>44286</v>
      </c>
      <c r="G81" s="16">
        <v>44651</v>
      </c>
      <c r="H81" s="16">
        <v>45016</v>
      </c>
      <c r="I81" s="16">
        <v>45382</v>
      </c>
      <c r="J81" s="16">
        <v>45747</v>
      </c>
      <c r="K81" s="16">
        <v>46112</v>
      </c>
    </row>
    <row r="82" spans="1:11" s="1" customFormat="1" x14ac:dyDescent="0.25">
      <c r="A82" s="9" t="s">
        <v>32</v>
      </c>
      <c r="B82">
        <v>441.28</v>
      </c>
      <c r="C82">
        <v>1248.77</v>
      </c>
      <c r="D82">
        <v>1155.78</v>
      </c>
      <c r="E82">
        <v>1484.53</v>
      </c>
      <c r="F82">
        <v>1851.07</v>
      </c>
      <c r="G82">
        <v>1299.52</v>
      </c>
      <c r="H82">
        <v>2526.21</v>
      </c>
      <c r="I82">
        <v>2572.98</v>
      </c>
      <c r="J82">
        <v>2490.62</v>
      </c>
      <c r="K82">
        <v>2611.6</v>
      </c>
    </row>
    <row r="83" spans="1:11" s="9" customFormat="1" x14ac:dyDescent="0.25">
      <c r="A83" s="9" t="s">
        <v>33</v>
      </c>
      <c r="B83">
        <v>-149.85</v>
      </c>
      <c r="C83">
        <v>-956.52</v>
      </c>
      <c r="D83">
        <v>-852.22</v>
      </c>
      <c r="E83">
        <v>-1525.93</v>
      </c>
      <c r="F83">
        <v>458.82</v>
      </c>
      <c r="G83">
        <v>914.19</v>
      </c>
      <c r="H83">
        <v>-1507</v>
      </c>
      <c r="I83">
        <v>485.44</v>
      </c>
      <c r="J83">
        <v>69.069999999999993</v>
      </c>
      <c r="K83">
        <v>-741.38</v>
      </c>
    </row>
    <row r="84" spans="1:11" s="9" customFormat="1" x14ac:dyDescent="0.25">
      <c r="A84" s="9" t="s">
        <v>34</v>
      </c>
      <c r="B84">
        <v>-295.08</v>
      </c>
      <c r="C84">
        <v>-231.75</v>
      </c>
      <c r="D84">
        <v>-352.68</v>
      </c>
      <c r="E84">
        <v>57.94</v>
      </c>
      <c r="F84">
        <v>-2243.69</v>
      </c>
      <c r="G84">
        <v>-2245.84</v>
      </c>
      <c r="H84">
        <v>-1028.3699999999999</v>
      </c>
      <c r="I84">
        <v>-2839.13</v>
      </c>
      <c r="J84">
        <v>-2753.9</v>
      </c>
      <c r="K84">
        <v>-1782.62</v>
      </c>
    </row>
    <row r="85" spans="1:11" s="1" customFormat="1" x14ac:dyDescent="0.25">
      <c r="A85" s="9" t="s">
        <v>35</v>
      </c>
      <c r="B85">
        <v>-3.65</v>
      </c>
      <c r="C85">
        <v>60.5</v>
      </c>
      <c r="D85">
        <v>-49.12</v>
      </c>
      <c r="E85">
        <v>16.54</v>
      </c>
      <c r="F85">
        <v>66.2</v>
      </c>
      <c r="G85">
        <v>-32.130000000000003</v>
      </c>
      <c r="H85">
        <v>-9.16</v>
      </c>
      <c r="I85">
        <v>219.29</v>
      </c>
      <c r="J85">
        <v>-194.21</v>
      </c>
      <c r="K85">
        <v>87.6</v>
      </c>
    </row>
    <row r="86" spans="1:11" x14ac:dyDescent="0.25">
      <c r="A86" s="9"/>
    </row>
    <row r="87" spans="1:11" x14ac:dyDescent="0.25">
      <c r="A87" s="9"/>
    </row>
    <row r="88" spans="1:11" x14ac:dyDescent="0.25">
      <c r="A88" s="9"/>
    </row>
    <row r="89" spans="1:11" x14ac:dyDescent="0.25">
      <c r="A89" s="9"/>
    </row>
    <row r="90" spans="1:11" s="1" customFormat="1" x14ac:dyDescent="0.25">
      <c r="A90" s="1" t="s">
        <v>77</v>
      </c>
      <c r="B90">
        <v>1687</v>
      </c>
      <c r="C90">
        <v>2485.3000000000002</v>
      </c>
      <c r="D90">
        <v>3085.5</v>
      </c>
      <c r="E90">
        <v>2688.95</v>
      </c>
      <c r="F90">
        <v>3625.05</v>
      </c>
      <c r="G90">
        <v>3206.4</v>
      </c>
      <c r="H90">
        <v>4322.1499999999996</v>
      </c>
      <c r="I90">
        <v>4911.25</v>
      </c>
      <c r="J90">
        <v>4936.8999999999996</v>
      </c>
      <c r="K90">
        <v>5423</v>
      </c>
    </row>
    <row r="92" spans="1:11" s="1" customFormat="1" x14ac:dyDescent="0.25">
      <c r="A92" s="1" t="s">
        <v>76</v>
      </c>
    </row>
    <row r="93" spans="1:11" x14ac:dyDescent="0.25">
      <c r="A93" s="5" t="s">
        <v>89</v>
      </c>
      <c r="B93" s="31">
        <v>24</v>
      </c>
      <c r="C93" s="31">
        <v>24.01</v>
      </c>
      <c r="D93" s="31">
        <v>24.03</v>
      </c>
      <c r="E93" s="31">
        <v>24.05</v>
      </c>
      <c r="F93" s="31">
        <v>24.09</v>
      </c>
      <c r="G93" s="31">
        <v>24.09</v>
      </c>
      <c r="H93" s="31">
        <v>24.09</v>
      </c>
      <c r="I93" s="31">
        <v>24.09</v>
      </c>
      <c r="J93" s="31">
        <v>24.09</v>
      </c>
      <c r="K93" s="31">
        <v>24.09</v>
      </c>
    </row>
  </sheetData>
  <mergeCells count="2">
    <mergeCell ref="E1:K1"/>
    <mergeCell ref="E2:K2"/>
  </mergeCells>
  <conditionalFormatting sqref="E1:K1">
    <cfRule type="cellIs" dxfId="4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topLeftCell="I1" zoomScaleNormal="100" workbookViewId="0">
      <selection activeCell="C7" sqref="C7"/>
    </sheetView>
  </sheetViews>
  <sheetFormatPr defaultColWidth="8.85546875" defaultRowHeight="15" x14ac:dyDescent="0.25"/>
  <cols>
    <col min="1" max="1" width="20.7109375" style="6" customWidth="1"/>
    <col min="2" max="11" width="13.42578125" style="6" bestFit="1" customWidth="1"/>
    <col min="12" max="16384" width="8.85546875" style="6"/>
  </cols>
  <sheetData>
    <row r="1" spans="1:11" s="8" customFormat="1" x14ac:dyDescent="0.25">
      <c r="A1" s="8" t="str">
        <f>'Profit &amp; Loss'!A1</f>
        <v>BRITANNIA INDUSTRIES LTD</v>
      </c>
      <c r="E1" t="str">
        <f>UPDATE</f>
        <v/>
      </c>
      <c r="J1" s="4" t="s">
        <v>1</v>
      </c>
      <c r="K1" s="4"/>
    </row>
    <row r="3" spans="1:11" s="2" customFormat="1" x14ac:dyDescent="0.25">
      <c r="A3" s="15" t="s">
        <v>2</v>
      </c>
      <c r="B3" s="16">
        <f>'Data Sheet'!B41</f>
        <v>45382</v>
      </c>
      <c r="C3" s="16">
        <f>'Data Sheet'!C41</f>
        <v>45473</v>
      </c>
      <c r="D3" s="16">
        <f>'Data Sheet'!D41</f>
        <v>45565</v>
      </c>
      <c r="E3" s="16">
        <f>'Data Sheet'!E41</f>
        <v>45657</v>
      </c>
      <c r="F3" s="16">
        <f>'Data Sheet'!F41</f>
        <v>45747</v>
      </c>
      <c r="G3" s="16">
        <f>'Data Sheet'!G41</f>
        <v>45838</v>
      </c>
      <c r="H3" s="16">
        <f>'Data Sheet'!H41</f>
        <v>45930</v>
      </c>
      <c r="I3" s="16">
        <f>'Data Sheet'!I41</f>
        <v>46022</v>
      </c>
      <c r="J3" s="16">
        <f>'Data Sheet'!J41</f>
        <v>46112</v>
      </c>
      <c r="K3" s="16">
        <f>'Data Sheet'!K41</f>
        <v>46203</v>
      </c>
    </row>
    <row r="4" spans="1:11" s="8" customFormat="1" x14ac:dyDescent="0.25">
      <c r="A4" s="8" t="s">
        <v>6</v>
      </c>
      <c r="B4" s="1">
        <f>'Data Sheet'!B42</f>
        <v>4069.36</v>
      </c>
      <c r="C4" s="1">
        <f>'Data Sheet'!C42</f>
        <v>4250.29</v>
      </c>
      <c r="D4" s="1">
        <f>'Data Sheet'!D42</f>
        <v>4667.57</v>
      </c>
      <c r="E4" s="1">
        <f>'Data Sheet'!E42</f>
        <v>4592.6099999999997</v>
      </c>
      <c r="F4" s="1">
        <f>'Data Sheet'!F42</f>
        <v>4432.1899999999996</v>
      </c>
      <c r="G4" s="1">
        <f>'Data Sheet'!G42</f>
        <v>4622.22</v>
      </c>
      <c r="H4" s="1">
        <f>'Data Sheet'!H42</f>
        <v>4840.63</v>
      </c>
      <c r="I4" s="1">
        <f>'Data Sheet'!I42</f>
        <v>4969.82</v>
      </c>
      <c r="J4" s="1">
        <f>'Data Sheet'!J42</f>
        <v>4718.92</v>
      </c>
      <c r="K4" s="1">
        <f>'Data Sheet'!K42</f>
        <v>4999.97</v>
      </c>
    </row>
    <row r="5" spans="1:11" x14ac:dyDescent="0.25">
      <c r="A5" s="6" t="s">
        <v>7</v>
      </c>
      <c r="B5" s="9">
        <f>'Data Sheet'!B43</f>
        <v>3285.71</v>
      </c>
      <c r="C5" s="9">
        <f>'Data Sheet'!C43</f>
        <v>3497.28</v>
      </c>
      <c r="D5" s="9">
        <f>'Data Sheet'!D43</f>
        <v>3887.56</v>
      </c>
      <c r="E5" s="9">
        <f>'Data Sheet'!E43</f>
        <v>3749.75</v>
      </c>
      <c r="F5" s="9">
        <f>'Data Sheet'!F43</f>
        <v>3631.67</v>
      </c>
      <c r="G5" s="9">
        <f>'Data Sheet'!G43</f>
        <v>3870.02</v>
      </c>
      <c r="H5" s="9">
        <f>'Data Sheet'!H43</f>
        <v>3889.39</v>
      </c>
      <c r="I5" s="9">
        <f>'Data Sheet'!I43</f>
        <v>3992.49</v>
      </c>
      <c r="J5" s="9">
        <f>'Data Sheet'!J43</f>
        <v>3885.35</v>
      </c>
      <c r="K5" s="9">
        <f>'Data Sheet'!K43</f>
        <v>4161.6499999999996</v>
      </c>
    </row>
    <row r="6" spans="1:11" s="8" customFormat="1" x14ac:dyDescent="0.25">
      <c r="A6" s="8" t="s">
        <v>8</v>
      </c>
      <c r="B6" s="1">
        <f>'Data Sheet'!B50</f>
        <v>783.65</v>
      </c>
      <c r="C6" s="1">
        <f>'Data Sheet'!C50</f>
        <v>753.01</v>
      </c>
      <c r="D6" s="1">
        <f>'Data Sheet'!D50</f>
        <v>780.01</v>
      </c>
      <c r="E6" s="1">
        <f>'Data Sheet'!E50</f>
        <v>842.86</v>
      </c>
      <c r="F6" s="1">
        <f>'Data Sheet'!F50</f>
        <v>800.52</v>
      </c>
      <c r="G6" s="1">
        <f>'Data Sheet'!G50</f>
        <v>752.2</v>
      </c>
      <c r="H6" s="1">
        <f>'Data Sheet'!H50</f>
        <v>951.24</v>
      </c>
      <c r="I6" s="1">
        <f>'Data Sheet'!I50</f>
        <v>977.33</v>
      </c>
      <c r="J6" s="1">
        <f>'Data Sheet'!J50</f>
        <v>833.57</v>
      </c>
      <c r="K6" s="1">
        <f>'Data Sheet'!K50</f>
        <v>838.32</v>
      </c>
    </row>
    <row r="7" spans="1:11" x14ac:dyDescent="0.25">
      <c r="A7" s="6" t="s">
        <v>9</v>
      </c>
      <c r="B7" s="9">
        <f>'Data Sheet'!B44</f>
        <v>57.34</v>
      </c>
      <c r="C7" s="9">
        <f>'Data Sheet'!C44</f>
        <v>30.97</v>
      </c>
      <c r="D7" s="9">
        <f>'Data Sheet'!D44</f>
        <v>45.85</v>
      </c>
      <c r="E7" s="9">
        <f>'Data Sheet'!E44</f>
        <v>62.46</v>
      </c>
      <c r="F7" s="9">
        <f>'Data Sheet'!F44</f>
        <v>63.02</v>
      </c>
      <c r="G7" s="9">
        <f>'Data Sheet'!G44</f>
        <v>57.01</v>
      </c>
      <c r="H7" s="9">
        <f>'Data Sheet'!H44</f>
        <v>52.11</v>
      </c>
      <c r="I7" s="9">
        <f>'Data Sheet'!I44</f>
        <v>59.46</v>
      </c>
      <c r="J7" s="9">
        <f>'Data Sheet'!J44</f>
        <v>55.45</v>
      </c>
      <c r="K7" s="9">
        <f>'Data Sheet'!K44</f>
        <v>61.41</v>
      </c>
    </row>
    <row r="8" spans="1:11" x14ac:dyDescent="0.25">
      <c r="A8" s="6" t="s">
        <v>10</v>
      </c>
      <c r="B8" s="9">
        <f>'Data Sheet'!B45</f>
        <v>79.930000000000007</v>
      </c>
      <c r="C8" s="9">
        <f>'Data Sheet'!C45</f>
        <v>73.930000000000007</v>
      </c>
      <c r="D8" s="9">
        <f>'Data Sheet'!D45</f>
        <v>76.069999999999993</v>
      </c>
      <c r="E8" s="9">
        <f>'Data Sheet'!E45</f>
        <v>82.38</v>
      </c>
      <c r="F8" s="9">
        <f>'Data Sheet'!F45</f>
        <v>80.959999999999994</v>
      </c>
      <c r="G8" s="9">
        <f>'Data Sheet'!G45</f>
        <v>82.04</v>
      </c>
      <c r="H8" s="9">
        <f>'Data Sheet'!H45</f>
        <v>85.05</v>
      </c>
      <c r="I8" s="9">
        <f>'Data Sheet'!I45</f>
        <v>84.51</v>
      </c>
      <c r="J8" s="9">
        <f>'Data Sheet'!J45</f>
        <v>85.23</v>
      </c>
      <c r="K8" s="9">
        <f>'Data Sheet'!K45</f>
        <v>79.510000000000005</v>
      </c>
    </row>
    <row r="9" spans="1:11" x14ac:dyDescent="0.25">
      <c r="A9" s="6" t="s">
        <v>11</v>
      </c>
      <c r="B9" s="9">
        <f>'Data Sheet'!B46</f>
        <v>26.44</v>
      </c>
      <c r="C9" s="9">
        <f>'Data Sheet'!C46</f>
        <v>28.95</v>
      </c>
      <c r="D9" s="9">
        <f>'Data Sheet'!D46</f>
        <v>34.64</v>
      </c>
      <c r="E9" s="9">
        <f>'Data Sheet'!E46</f>
        <v>44.56</v>
      </c>
      <c r="F9" s="9">
        <f>'Data Sheet'!F46</f>
        <v>30.65</v>
      </c>
      <c r="G9" s="9">
        <f>'Data Sheet'!G46</f>
        <v>26.15</v>
      </c>
      <c r="H9" s="9">
        <f>'Data Sheet'!H46</f>
        <v>34.68</v>
      </c>
      <c r="I9" s="9">
        <f>'Data Sheet'!I46</f>
        <v>33.25</v>
      </c>
      <c r="J9" s="9">
        <f>'Data Sheet'!J46</f>
        <v>18.68</v>
      </c>
      <c r="K9" s="9">
        <f>'Data Sheet'!K46</f>
        <v>22.87</v>
      </c>
    </row>
    <row r="10" spans="1:11" x14ac:dyDescent="0.25">
      <c r="A10" s="6" t="s">
        <v>12</v>
      </c>
      <c r="B10" s="9">
        <f>'Data Sheet'!B47</f>
        <v>734.62</v>
      </c>
      <c r="C10" s="9">
        <f>'Data Sheet'!C47</f>
        <v>681.1</v>
      </c>
      <c r="D10" s="9">
        <f>'Data Sheet'!D47</f>
        <v>715.15</v>
      </c>
      <c r="E10" s="9">
        <f>'Data Sheet'!E47</f>
        <v>778.38</v>
      </c>
      <c r="F10" s="9">
        <f>'Data Sheet'!F47</f>
        <v>751.93</v>
      </c>
      <c r="G10" s="9">
        <f>'Data Sheet'!G47</f>
        <v>701.02</v>
      </c>
      <c r="H10" s="9">
        <f>'Data Sheet'!H47</f>
        <v>883.62</v>
      </c>
      <c r="I10" s="9">
        <f>'Data Sheet'!I47</f>
        <v>919.03</v>
      </c>
      <c r="J10" s="9">
        <f>'Data Sheet'!J47</f>
        <v>785.11</v>
      </c>
      <c r="K10" s="9">
        <f>'Data Sheet'!K47</f>
        <v>797.35</v>
      </c>
    </row>
    <row r="11" spans="1:11" x14ac:dyDescent="0.25">
      <c r="A11" s="6" t="s">
        <v>13</v>
      </c>
      <c r="B11" s="9">
        <f>'Data Sheet'!B48</f>
        <v>198.01</v>
      </c>
      <c r="C11" s="9">
        <f>'Data Sheet'!C48</f>
        <v>176.22</v>
      </c>
      <c r="D11" s="9">
        <f>'Data Sheet'!D48</f>
        <v>183.6</v>
      </c>
      <c r="E11" s="9">
        <f>'Data Sheet'!E48</f>
        <v>196.08</v>
      </c>
      <c r="F11" s="9">
        <f>'Data Sheet'!F48</f>
        <v>192.8</v>
      </c>
      <c r="G11" s="9">
        <f>'Data Sheet'!G48</f>
        <v>180.89</v>
      </c>
      <c r="H11" s="9">
        <f>'Data Sheet'!H48</f>
        <v>228.56</v>
      </c>
      <c r="I11" s="9">
        <f>'Data Sheet'!I48</f>
        <v>236.89</v>
      </c>
      <c r="J11" s="9">
        <f>'Data Sheet'!J48</f>
        <v>105.43</v>
      </c>
      <c r="K11" s="9">
        <f>'Data Sheet'!K48</f>
        <v>203.97</v>
      </c>
    </row>
    <row r="12" spans="1:11" s="8" customFormat="1" x14ac:dyDescent="0.25">
      <c r="A12" s="8" t="s">
        <v>14</v>
      </c>
      <c r="B12" s="1">
        <f>'Data Sheet'!B49</f>
        <v>538.28</v>
      </c>
      <c r="C12" s="1">
        <f>'Data Sheet'!C49</f>
        <v>505.64</v>
      </c>
      <c r="D12" s="1">
        <f>'Data Sheet'!D49</f>
        <v>531.45000000000005</v>
      </c>
      <c r="E12" s="1">
        <f>'Data Sheet'!E49</f>
        <v>581.69000000000005</v>
      </c>
      <c r="F12" s="1">
        <f>'Data Sheet'!F49</f>
        <v>559.95000000000005</v>
      </c>
      <c r="G12" s="1">
        <f>'Data Sheet'!G49</f>
        <v>520.72</v>
      </c>
      <c r="H12" s="1">
        <f>'Data Sheet'!H49</f>
        <v>654.47</v>
      </c>
      <c r="I12" s="1">
        <f>'Data Sheet'!I49</f>
        <v>679.96</v>
      </c>
      <c r="J12" s="1">
        <f>'Data Sheet'!J49</f>
        <v>678.34</v>
      </c>
      <c r="K12" s="1">
        <f>'Data Sheet'!K49</f>
        <v>591.35</v>
      </c>
    </row>
    <row r="14" spans="1:11" s="8" customFormat="1" x14ac:dyDescent="0.25">
      <c r="A14" s="2" t="s">
        <v>18</v>
      </c>
      <c r="B14" s="14">
        <f t="shared" ref="B14:K14" si="0">IF(B4&gt;0,B6/B4,"")</f>
        <v>0.19257327933630841</v>
      </c>
      <c r="C14" s="14">
        <f t="shared" si="0"/>
        <v>0.17716673450517495</v>
      </c>
      <c r="D14" s="14">
        <f t="shared" si="0"/>
        <v>0.16711265176526544</v>
      </c>
      <c r="E14" s="14">
        <f t="shared" si="0"/>
        <v>0.18352527212195247</v>
      </c>
      <c r="F14" s="14">
        <f t="shared" si="0"/>
        <v>0.18061500071070963</v>
      </c>
      <c r="G14" s="14">
        <f t="shared" si="0"/>
        <v>0.16273565516137267</v>
      </c>
      <c r="H14" s="14">
        <f t="shared" si="0"/>
        <v>0.19651161109194465</v>
      </c>
      <c r="I14" s="14">
        <f t="shared" si="0"/>
        <v>0.19665299749286697</v>
      </c>
      <c r="J14" s="14">
        <f t="shared" si="0"/>
        <v>0.17664423215481509</v>
      </c>
      <c r="K14" s="14">
        <f t="shared" si="0"/>
        <v>0.16766500599003595</v>
      </c>
    </row>
    <row r="22" s="30" customFormat="1" x14ac:dyDescent="0.2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B3C17-C6B1-4198-91A3-B656DC23A90B}">
  <dimension ref="B7:P38"/>
  <sheetViews>
    <sheetView showGridLines="0" tabSelected="1" topLeftCell="A9" zoomScale="140" zoomScaleNormal="140" workbookViewId="0">
      <selection activeCell="H5" sqref="H5"/>
    </sheetView>
  </sheetViews>
  <sheetFormatPr defaultRowHeight="15" x14ac:dyDescent="0.25"/>
  <cols>
    <col min="1" max="1" width="2.7109375" style="61" customWidth="1"/>
    <col min="2" max="16" width="8.7109375" style="61" customWidth="1"/>
    <col min="17" max="16384" width="9.140625" style="61"/>
  </cols>
  <sheetData>
    <row r="7" spans="3:13" x14ac:dyDescent="0.25">
      <c r="C7" s="61" t="s">
        <v>136</v>
      </c>
    </row>
    <row r="9" spans="3:13" ht="18.75" customHeight="1" thickBot="1" x14ac:dyDescent="0.3"/>
    <row r="10" spans="3:13" ht="12.75" customHeight="1" thickBot="1" x14ac:dyDescent="0.3">
      <c r="J10" s="71" t="s">
        <v>138</v>
      </c>
      <c r="K10" s="72"/>
      <c r="L10" s="72" t="s">
        <v>7</v>
      </c>
      <c r="M10" s="73"/>
    </row>
    <row r="13" spans="3:13" x14ac:dyDescent="0.25">
      <c r="K13" s="68"/>
    </row>
    <row r="14" spans="3:13" x14ac:dyDescent="0.25">
      <c r="M14" s="70"/>
    </row>
    <row r="15" spans="3:13" x14ac:dyDescent="0.25">
      <c r="J15" s="61" t="s">
        <v>137</v>
      </c>
    </row>
    <row r="16" spans="3:13" x14ac:dyDescent="0.25">
      <c r="G16" s="61" t="s">
        <v>137</v>
      </c>
    </row>
    <row r="17" spans="2:16" x14ac:dyDescent="0.25">
      <c r="M17" s="61" t="s">
        <v>137</v>
      </c>
    </row>
    <row r="31" spans="2:16" x14ac:dyDescent="0.25">
      <c r="B31" s="80" t="s">
        <v>149</v>
      </c>
      <c r="C31" s="81"/>
      <c r="D31" s="81"/>
      <c r="E31" s="81"/>
      <c r="F31" s="81"/>
      <c r="G31" s="81" t="s">
        <v>150</v>
      </c>
      <c r="H31" s="81"/>
      <c r="I31" s="81"/>
      <c r="J31" s="81"/>
      <c r="K31" s="81"/>
      <c r="L31" s="81" t="s">
        <v>151</v>
      </c>
      <c r="M31" s="81"/>
      <c r="N31" s="81"/>
      <c r="O31" s="81"/>
      <c r="P31" s="82"/>
    </row>
    <row r="32" spans="2:16" x14ac:dyDescent="0.25">
      <c r="B32" s="83" t="s">
        <v>152</v>
      </c>
      <c r="C32" s="83"/>
      <c r="D32" s="83"/>
      <c r="E32" s="83"/>
      <c r="F32" s="84"/>
      <c r="G32" s="85" t="s">
        <v>153</v>
      </c>
      <c r="H32" s="85"/>
      <c r="I32" s="85"/>
      <c r="J32" s="85"/>
      <c r="K32" s="85"/>
      <c r="L32" s="79" t="s">
        <v>154</v>
      </c>
      <c r="M32" s="79"/>
      <c r="N32" s="79"/>
      <c r="O32" s="79"/>
      <c r="P32" s="79"/>
    </row>
    <row r="33" spans="2:16" x14ac:dyDescent="0.25">
      <c r="B33" s="83"/>
      <c r="C33" s="83"/>
      <c r="D33" s="83"/>
      <c r="E33" s="83"/>
      <c r="F33" s="84"/>
      <c r="G33" s="85"/>
      <c r="H33" s="85"/>
      <c r="I33" s="85"/>
      <c r="J33" s="85"/>
      <c r="K33" s="85"/>
      <c r="L33" s="79"/>
      <c r="M33" s="79"/>
      <c r="N33" s="79"/>
      <c r="O33" s="79"/>
      <c r="P33" s="79"/>
    </row>
    <row r="34" spans="2:16" x14ac:dyDescent="0.25">
      <c r="B34" s="83"/>
      <c r="C34" s="83"/>
      <c r="D34" s="83"/>
      <c r="E34" s="83"/>
      <c r="F34" s="84"/>
      <c r="G34" s="85"/>
      <c r="H34" s="85"/>
      <c r="I34" s="85"/>
      <c r="J34" s="85"/>
      <c r="K34" s="85"/>
      <c r="L34" s="79"/>
      <c r="M34" s="79"/>
      <c r="N34" s="79"/>
      <c r="O34" s="79"/>
      <c r="P34" s="79"/>
    </row>
    <row r="35" spans="2:16" x14ac:dyDescent="0.25">
      <c r="B35" s="83"/>
      <c r="C35" s="83"/>
      <c r="D35" s="83"/>
      <c r="E35" s="83"/>
      <c r="F35" s="84"/>
      <c r="G35" s="85"/>
      <c r="H35" s="85"/>
      <c r="I35" s="85"/>
      <c r="J35" s="85"/>
      <c r="K35" s="85"/>
      <c r="L35" s="79"/>
      <c r="M35" s="79"/>
      <c r="N35" s="79"/>
      <c r="O35" s="79"/>
      <c r="P35" s="79"/>
    </row>
    <row r="36" spans="2:16" x14ac:dyDescent="0.25">
      <c r="B36" s="83"/>
      <c r="C36" s="83"/>
      <c r="D36" s="83"/>
      <c r="E36" s="83"/>
      <c r="F36" s="84"/>
      <c r="G36" s="85"/>
      <c r="H36" s="85"/>
      <c r="I36" s="85"/>
      <c r="J36" s="85"/>
      <c r="K36" s="85"/>
      <c r="L36" s="79"/>
      <c r="M36" s="79"/>
      <c r="N36" s="79"/>
      <c r="O36" s="79"/>
      <c r="P36" s="79"/>
    </row>
    <row r="37" spans="2:16" x14ac:dyDescent="0.25">
      <c r="B37" s="83"/>
      <c r="C37" s="83"/>
      <c r="D37" s="83"/>
      <c r="E37" s="83"/>
      <c r="F37" s="84"/>
      <c r="G37" s="85"/>
      <c r="H37" s="85"/>
      <c r="I37" s="85"/>
      <c r="J37" s="85"/>
      <c r="K37" s="85"/>
      <c r="L37" s="79"/>
      <c r="M37" s="79"/>
      <c r="N37" s="79"/>
      <c r="O37" s="79"/>
      <c r="P37" s="79"/>
    </row>
    <row r="38" spans="2:16" x14ac:dyDescent="0.25">
      <c r="B38" s="83"/>
      <c r="C38" s="83"/>
      <c r="D38" s="83"/>
      <c r="E38" s="83"/>
      <c r="F38" s="84"/>
      <c r="G38" s="85"/>
      <c r="H38" s="85"/>
      <c r="I38" s="85"/>
      <c r="J38" s="85"/>
      <c r="K38" s="85"/>
      <c r="L38" s="79"/>
      <c r="M38" s="79"/>
      <c r="N38" s="79"/>
      <c r="O38" s="79"/>
      <c r="P38" s="79"/>
    </row>
  </sheetData>
  <mergeCells count="6">
    <mergeCell ref="L32:P38"/>
    <mergeCell ref="B31:F31"/>
    <mergeCell ref="G31:K31"/>
    <mergeCell ref="L31:P31"/>
    <mergeCell ref="B32:F38"/>
    <mergeCell ref="G32:K38"/>
  </mergeCells>
  <dataValidations count="1">
    <dataValidation type="list" allowBlank="1" showInputMessage="1" showErrorMessage="1" sqref="L10" xr:uid="{0438B15B-F6AD-4D80-B9FE-B49BCC68BDCB}">
      <formula1>"Sales,Expenses,Operating Profit"</formula1>
    </dataValidation>
  </dataValidations>
  <pageMargins left="0.7" right="0.7" top="0.75" bottom="0.75" header="0.3" footer="0.3"/>
  <pageSetup paperSize="1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A88C4-0DA8-4607-8F4C-A00E84650826}">
  <dimension ref="A1:S31"/>
  <sheetViews>
    <sheetView topLeftCell="F7" workbookViewId="0">
      <selection activeCell="L13" sqref="L13"/>
    </sheetView>
  </sheetViews>
  <sheetFormatPr defaultRowHeight="15" x14ac:dyDescent="0.25"/>
  <cols>
    <col min="1" max="1" width="15.42578125" bestFit="1" customWidth="1"/>
    <col min="2" max="2" width="10.140625" bestFit="1" customWidth="1"/>
    <col min="3" max="3" width="10.42578125" bestFit="1" customWidth="1"/>
    <col min="5" max="5" width="14.85546875" bestFit="1" customWidth="1"/>
    <col min="6" max="6" width="16.28515625" bestFit="1" customWidth="1"/>
    <col min="7" max="7" width="9" bestFit="1" customWidth="1"/>
    <col min="8" max="9" width="11.28515625" bestFit="1" customWidth="1"/>
    <col min="10" max="10" width="9" bestFit="1" customWidth="1"/>
    <col min="11" max="11" width="11.28515625" bestFit="1" customWidth="1"/>
    <col min="12" max="12" width="18.85546875" bestFit="1" customWidth="1"/>
    <col min="13" max="13" width="8" bestFit="1" customWidth="1"/>
    <col min="14" max="14" width="22.7109375" bestFit="1" customWidth="1"/>
    <col min="15" max="18" width="8" bestFit="1" customWidth="1"/>
    <col min="19" max="19" width="11.28515625" bestFit="1" customWidth="1"/>
  </cols>
  <sheetData>
    <row r="1" spans="1:19" x14ac:dyDescent="0.25">
      <c r="A1" t="s">
        <v>2</v>
      </c>
      <c r="B1" t="s">
        <v>107</v>
      </c>
      <c r="C1" t="s">
        <v>108</v>
      </c>
    </row>
    <row r="2" spans="1:19" x14ac:dyDescent="0.25">
      <c r="A2" s="32" t="s">
        <v>6</v>
      </c>
      <c r="B2" s="60" t="s">
        <v>97</v>
      </c>
      <c r="C2">
        <v>4069.36</v>
      </c>
    </row>
    <row r="3" spans="1:19" x14ac:dyDescent="0.25">
      <c r="A3" s="32" t="s">
        <v>6</v>
      </c>
      <c r="B3" s="60" t="s">
        <v>98</v>
      </c>
      <c r="C3">
        <v>4250.29</v>
      </c>
    </row>
    <row r="4" spans="1:19" x14ac:dyDescent="0.25">
      <c r="A4" s="32" t="s">
        <v>6</v>
      </c>
      <c r="B4" s="60" t="s">
        <v>99</v>
      </c>
      <c r="C4">
        <v>4667.57</v>
      </c>
    </row>
    <row r="5" spans="1:19" x14ac:dyDescent="0.25">
      <c r="A5" s="32" t="s">
        <v>6</v>
      </c>
      <c r="B5" s="60" t="s">
        <v>100</v>
      </c>
      <c r="C5">
        <v>4592.6099999999997</v>
      </c>
      <c r="E5" s="57" t="s">
        <v>134</v>
      </c>
      <c r="F5" s="57" t="s">
        <v>135</v>
      </c>
    </row>
    <row r="6" spans="1:19" x14ac:dyDescent="0.25">
      <c r="A6" s="32" t="s">
        <v>6</v>
      </c>
      <c r="B6" s="60" t="s">
        <v>101</v>
      </c>
      <c r="C6">
        <v>4432.1899999999996</v>
      </c>
      <c r="E6" s="57" t="s">
        <v>132</v>
      </c>
      <c r="F6" t="s">
        <v>8</v>
      </c>
      <c r="G6" t="s">
        <v>6</v>
      </c>
      <c r="H6" t="s">
        <v>133</v>
      </c>
      <c r="L6" s="63" t="s">
        <v>137</v>
      </c>
    </row>
    <row r="7" spans="1:19" x14ac:dyDescent="0.25">
      <c r="A7" s="32" t="s">
        <v>6</v>
      </c>
      <c r="B7" s="60" t="s">
        <v>102</v>
      </c>
      <c r="C7">
        <v>4622.22</v>
      </c>
      <c r="E7" s="59" t="s">
        <v>97</v>
      </c>
      <c r="F7" s="32">
        <v>783.65</v>
      </c>
      <c r="G7" s="32">
        <v>4069.36</v>
      </c>
      <c r="H7" s="32">
        <v>4853.01</v>
      </c>
      <c r="L7" s="62">
        <f>'Profit &amp; Loss'!K6</f>
        <v>3514.340000000002</v>
      </c>
      <c r="N7" t="s">
        <v>146</v>
      </c>
      <c r="O7" s="16">
        <f>'Cash Flow'!G3</f>
        <v>44651</v>
      </c>
      <c r="P7" s="16">
        <f>'Cash Flow'!H3</f>
        <v>45016</v>
      </c>
      <c r="Q7" s="16">
        <f>'Cash Flow'!I3</f>
        <v>45382</v>
      </c>
      <c r="R7" s="16">
        <f>'Cash Flow'!J3</f>
        <v>45747</v>
      </c>
      <c r="S7" s="16">
        <f>'Cash Flow'!K3</f>
        <v>46112</v>
      </c>
    </row>
    <row r="8" spans="1:19" x14ac:dyDescent="0.25">
      <c r="A8" s="32" t="s">
        <v>6</v>
      </c>
      <c r="B8" s="60" t="s">
        <v>103</v>
      </c>
      <c r="C8">
        <v>4840.63</v>
      </c>
      <c r="E8" s="59" t="s">
        <v>98</v>
      </c>
      <c r="F8" s="32">
        <v>753.01</v>
      </c>
      <c r="G8" s="32">
        <v>4250.29</v>
      </c>
      <c r="H8" s="32">
        <v>5003.3</v>
      </c>
      <c r="L8" s="64">
        <f>'Profit &amp; Loss'!K4/'Profit &amp; Loss'!J4-1</f>
        <v>6.7376817385595533E-2</v>
      </c>
      <c r="N8" t="s">
        <v>147</v>
      </c>
      <c r="O8">
        <f>'Cash Flow'!G4</f>
        <v>1299.52</v>
      </c>
      <c r="P8">
        <f>'Cash Flow'!H4</f>
        <v>2526.21</v>
      </c>
      <c r="Q8">
        <f>'Cash Flow'!I4</f>
        <v>2572.98</v>
      </c>
      <c r="R8">
        <f>'Cash Flow'!J4</f>
        <v>2490.62</v>
      </c>
      <c r="S8">
        <f>'Cash Flow'!K4</f>
        <v>2611.6</v>
      </c>
    </row>
    <row r="9" spans="1:19" x14ac:dyDescent="0.25">
      <c r="A9" s="32" t="s">
        <v>6</v>
      </c>
      <c r="B9" s="60" t="s">
        <v>104</v>
      </c>
      <c r="C9">
        <v>4969.82</v>
      </c>
      <c r="E9" s="59" t="s">
        <v>99</v>
      </c>
      <c r="F9" s="32">
        <v>780.01</v>
      </c>
      <c r="G9" s="32">
        <v>4667.57</v>
      </c>
      <c r="H9" s="32">
        <v>5447.58</v>
      </c>
      <c r="L9" s="65">
        <f>'Profit &amp; Loss'!K6/'Profit &amp; Loss'!K4</f>
        <v>0.1835012132151953</v>
      </c>
      <c r="N9" t="s">
        <v>148</v>
      </c>
      <c r="O9">
        <f>'Cash Flow'!G5</f>
        <v>914.19</v>
      </c>
      <c r="P9">
        <f>'Cash Flow'!H5</f>
        <v>-1507</v>
      </c>
      <c r="Q9">
        <f>'Cash Flow'!I5</f>
        <v>485.44</v>
      </c>
      <c r="R9">
        <f>'Cash Flow'!J5</f>
        <v>69.069999999999993</v>
      </c>
      <c r="S9">
        <f>'Cash Flow'!K5</f>
        <v>-741.38</v>
      </c>
    </row>
    <row r="10" spans="1:19" x14ac:dyDescent="0.25">
      <c r="A10" s="32" t="s">
        <v>6</v>
      </c>
      <c r="B10" s="60" t="s">
        <v>105</v>
      </c>
      <c r="C10">
        <v>4718.92</v>
      </c>
      <c r="E10" s="59" t="s">
        <v>100</v>
      </c>
      <c r="F10" s="32">
        <v>842.86</v>
      </c>
      <c r="G10" s="32">
        <v>4592.6099999999997</v>
      </c>
      <c r="H10" s="32">
        <v>5435.4699999999993</v>
      </c>
      <c r="L10" s="62">
        <f>'Profit &amp; Loss'!K12</f>
        <v>2533.4899999999998</v>
      </c>
    </row>
    <row r="11" spans="1:19" x14ac:dyDescent="0.25">
      <c r="A11" s="32" t="s">
        <v>6</v>
      </c>
      <c r="B11" s="60" t="s">
        <v>106</v>
      </c>
      <c r="C11">
        <v>4999.97</v>
      </c>
      <c r="E11" s="59" t="s">
        <v>101</v>
      </c>
      <c r="F11" s="32">
        <v>800.52</v>
      </c>
      <c r="G11" s="32">
        <v>4432.1899999999996</v>
      </c>
      <c r="H11" s="32">
        <v>5232.7099999999991</v>
      </c>
      <c r="L11" s="65">
        <f>'Profit &amp; Loss'!K12/'Profit &amp; Loss'!K4</f>
        <v>0.13228614438801164</v>
      </c>
    </row>
    <row r="12" spans="1:19" x14ac:dyDescent="0.25">
      <c r="A12" s="32" t="s">
        <v>7</v>
      </c>
      <c r="B12" s="60" t="s">
        <v>97</v>
      </c>
      <c r="C12">
        <v>3285.71</v>
      </c>
      <c r="E12" s="59" t="s">
        <v>102</v>
      </c>
      <c r="F12" s="32">
        <v>752.2</v>
      </c>
      <c r="G12" s="32">
        <v>4622.22</v>
      </c>
      <c r="H12" s="32">
        <v>5374.42</v>
      </c>
      <c r="L12" s="62">
        <f>'Cash Flow'!K4</f>
        <v>2611.6</v>
      </c>
    </row>
    <row r="13" spans="1:19" x14ac:dyDescent="0.25">
      <c r="A13" s="32" t="s">
        <v>7</v>
      </c>
      <c r="B13" s="60" t="s">
        <v>98</v>
      </c>
      <c r="C13">
        <v>3497.28</v>
      </c>
      <c r="E13" s="59" t="s">
        <v>103</v>
      </c>
      <c r="F13" s="32">
        <v>951.24</v>
      </c>
      <c r="G13" s="32">
        <v>4840.63</v>
      </c>
      <c r="H13" s="32">
        <v>5791.87</v>
      </c>
      <c r="L13" s="66">
        <f>'Cash Flow'!K4/'Profit &amp; Loss'!K12</f>
        <v>1.0308309880836317</v>
      </c>
    </row>
    <row r="14" spans="1:19" x14ac:dyDescent="0.25">
      <c r="A14" s="32" t="s">
        <v>7</v>
      </c>
      <c r="B14" s="60" t="s">
        <v>99</v>
      </c>
      <c r="C14">
        <v>3887.56</v>
      </c>
      <c r="E14" s="59" t="s">
        <v>104</v>
      </c>
      <c r="F14" s="32">
        <v>977.33</v>
      </c>
      <c r="G14" s="32">
        <v>4969.82</v>
      </c>
      <c r="H14" s="32">
        <v>5947.15</v>
      </c>
      <c r="L14" s="62">
        <f>Forecast!H2</f>
        <v>20441.963182073796</v>
      </c>
    </row>
    <row r="15" spans="1:19" x14ac:dyDescent="0.25">
      <c r="A15" s="32" t="s">
        <v>7</v>
      </c>
      <c r="B15" s="60" t="s">
        <v>100</v>
      </c>
      <c r="C15">
        <v>3749.75</v>
      </c>
      <c r="E15" s="59" t="s">
        <v>105</v>
      </c>
      <c r="F15" s="32">
        <v>833.57</v>
      </c>
      <c r="G15" s="32">
        <v>4718.92</v>
      </c>
      <c r="H15" s="32">
        <v>5552.49</v>
      </c>
      <c r="L15" s="67">
        <f>Forecast!H2/'Profit &amp; Loss'!K4-1</f>
        <v>6.7376817385595533E-2</v>
      </c>
    </row>
    <row r="16" spans="1:19" x14ac:dyDescent="0.25">
      <c r="A16" s="32" t="s">
        <v>7</v>
      </c>
      <c r="B16" s="60" t="s">
        <v>101</v>
      </c>
      <c r="C16">
        <v>3631.67</v>
      </c>
      <c r="E16" s="59" t="s">
        <v>106</v>
      </c>
      <c r="F16" s="32">
        <v>838.32</v>
      </c>
      <c r="G16" s="32">
        <v>4999.97</v>
      </c>
      <c r="H16" s="32">
        <v>5838.29</v>
      </c>
    </row>
    <row r="17" spans="1:8" x14ac:dyDescent="0.25">
      <c r="A17" s="32" t="s">
        <v>7</v>
      </c>
      <c r="B17" s="60" t="s">
        <v>102</v>
      </c>
      <c r="C17">
        <v>3870.02</v>
      </c>
      <c r="E17" s="58" t="s">
        <v>133</v>
      </c>
      <c r="F17" s="32">
        <v>8312.7099999999991</v>
      </c>
      <c r="G17" s="32">
        <v>46163.58</v>
      </c>
      <c r="H17" s="32">
        <v>54476.29</v>
      </c>
    </row>
    <row r="18" spans="1:8" x14ac:dyDescent="0.25">
      <c r="A18" s="32" t="s">
        <v>7</v>
      </c>
      <c r="B18" s="60" t="s">
        <v>103</v>
      </c>
      <c r="C18">
        <v>3889.39</v>
      </c>
    </row>
    <row r="19" spans="1:8" x14ac:dyDescent="0.25">
      <c r="A19" s="32" t="s">
        <v>7</v>
      </c>
      <c r="B19" s="60" t="s">
        <v>104</v>
      </c>
      <c r="C19">
        <v>3992.49</v>
      </c>
    </row>
    <row r="20" spans="1:8" x14ac:dyDescent="0.25">
      <c r="A20" s="32" t="s">
        <v>7</v>
      </c>
      <c r="B20" s="60" t="s">
        <v>105</v>
      </c>
      <c r="C20">
        <v>3885.35</v>
      </c>
    </row>
    <row r="21" spans="1:8" x14ac:dyDescent="0.25">
      <c r="A21" s="32" t="s">
        <v>7</v>
      </c>
      <c r="B21" s="60" t="s">
        <v>106</v>
      </c>
      <c r="C21">
        <v>4161.6499999999996</v>
      </c>
    </row>
    <row r="22" spans="1:8" x14ac:dyDescent="0.25">
      <c r="A22" s="32" t="s">
        <v>8</v>
      </c>
      <c r="B22" s="60" t="s">
        <v>97</v>
      </c>
      <c r="C22">
        <v>783.65</v>
      </c>
    </row>
    <row r="23" spans="1:8" x14ac:dyDescent="0.25">
      <c r="A23" s="32" t="s">
        <v>8</v>
      </c>
      <c r="B23" s="60" t="s">
        <v>98</v>
      </c>
      <c r="C23">
        <v>753.01</v>
      </c>
    </row>
    <row r="24" spans="1:8" x14ac:dyDescent="0.25">
      <c r="A24" s="32" t="s">
        <v>8</v>
      </c>
      <c r="B24" s="60" t="s">
        <v>99</v>
      </c>
      <c r="C24">
        <v>780.01</v>
      </c>
    </row>
    <row r="25" spans="1:8" x14ac:dyDescent="0.25">
      <c r="A25" s="32" t="s">
        <v>8</v>
      </c>
      <c r="B25" s="60" t="s">
        <v>100</v>
      </c>
      <c r="C25">
        <v>842.86</v>
      </c>
    </row>
    <row r="26" spans="1:8" x14ac:dyDescent="0.25">
      <c r="A26" s="32" t="s">
        <v>8</v>
      </c>
      <c r="B26" s="60" t="s">
        <v>101</v>
      </c>
      <c r="C26">
        <v>800.52</v>
      </c>
    </row>
    <row r="27" spans="1:8" x14ac:dyDescent="0.25">
      <c r="A27" s="32" t="s">
        <v>8</v>
      </c>
      <c r="B27" s="60" t="s">
        <v>102</v>
      </c>
      <c r="C27">
        <v>752.2</v>
      </c>
    </row>
    <row r="28" spans="1:8" x14ac:dyDescent="0.25">
      <c r="A28" s="32" t="s">
        <v>8</v>
      </c>
      <c r="B28" s="60" t="s">
        <v>103</v>
      </c>
      <c r="C28">
        <v>951.24</v>
      </c>
    </row>
    <row r="29" spans="1:8" x14ac:dyDescent="0.25">
      <c r="A29" s="32" t="s">
        <v>8</v>
      </c>
      <c r="B29" s="60" t="s">
        <v>104</v>
      </c>
      <c r="C29">
        <v>977.33</v>
      </c>
    </row>
    <row r="30" spans="1:8" x14ac:dyDescent="0.25">
      <c r="A30" s="32" t="s">
        <v>8</v>
      </c>
      <c r="B30" s="60" t="s">
        <v>105</v>
      </c>
      <c r="C30">
        <v>833.57</v>
      </c>
    </row>
    <row r="31" spans="1:8" x14ac:dyDescent="0.25">
      <c r="A31" s="32" t="s">
        <v>8</v>
      </c>
      <c r="B31" s="60" t="s">
        <v>106</v>
      </c>
      <c r="C31">
        <v>838.32</v>
      </c>
    </row>
  </sheetData>
  <sortState xmlns:xlrd2="http://schemas.microsoft.com/office/spreadsheetml/2017/richdata2" ref="E5:H17">
    <sortCondition ref="E7" customList="Jan,Feb,Mar,Apr,May,Jun,Jul,Aug,Sep,Oct,Nov,Dec"/>
  </sortState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C8C5A-625C-4906-80ED-105EAEE2A66A}">
  <dimension ref="A1:U15"/>
  <sheetViews>
    <sheetView topLeftCell="A6" zoomScale="89" zoomScaleNormal="89" workbookViewId="0">
      <selection activeCell="B1" sqref="B1"/>
    </sheetView>
  </sheetViews>
  <sheetFormatPr defaultRowHeight="15" x14ac:dyDescent="0.25"/>
  <cols>
    <col min="2" max="2" width="15.42578125" bestFit="1" customWidth="1"/>
    <col min="4" max="4" width="10.7109375" bestFit="1" customWidth="1"/>
    <col min="5" max="5" width="13.140625" bestFit="1" customWidth="1"/>
    <col min="6" max="6" width="43.85546875" customWidth="1"/>
    <col min="7" max="7" width="36.5703125" customWidth="1"/>
  </cols>
  <sheetData>
    <row r="1" spans="1:21" ht="17.25" x14ac:dyDescent="0.4">
      <c r="A1" s="33" t="s">
        <v>130</v>
      </c>
      <c r="B1" s="33"/>
      <c r="C1" s="33"/>
      <c r="D1" s="33"/>
    </row>
    <row r="3" spans="1:21" ht="14.25" customHeight="1" x14ac:dyDescent="0.25">
      <c r="A3" s="55" t="s">
        <v>119</v>
      </c>
      <c r="B3" s="55" t="s">
        <v>110</v>
      </c>
      <c r="C3" s="55" t="s">
        <v>107</v>
      </c>
      <c r="D3" s="55" t="s">
        <v>96</v>
      </c>
      <c r="E3" s="55" t="s">
        <v>111</v>
      </c>
      <c r="F3" s="56" t="s">
        <v>121</v>
      </c>
      <c r="G3" s="56" t="s">
        <v>122</v>
      </c>
    </row>
    <row r="4" spans="1:21" ht="66" customHeight="1" x14ac:dyDescent="0.25">
      <c r="A4" s="52">
        <v>1</v>
      </c>
      <c r="B4" s="52" t="str" cm="1">
        <f t="array" ref="B4">INDEX('Budget vs Actual'!$A$4:$A$21,MATCH(D4,ABS('Budget vs Actual'!$F$4:$F$21),0))</f>
        <v>Operating Profit</v>
      </c>
      <c r="C4" s="53" cm="1">
        <f t="array" ref="C4">INDEX('Budget vs Actual'!$B$4:$B$21,MATCH(D4,ABS('Budget vs Actual'!$F$4:$F$21),0))</f>
        <v>45930</v>
      </c>
      <c r="D4" s="54" cm="1">
        <f t="array" ref="D4">LARGE(ABS('Budget vs Actual'!$F$4:$F$21),1)</f>
        <v>0.21952282663042785</v>
      </c>
      <c r="E4" s="52" t="str" cm="1">
        <f t="array" ref="E4">INDEX('Budget vs Actual'!$G$4:$G$21,MATCH(D4,ABS('Budget vs Actual'!$F$4:$F$21),0))</f>
        <v>Favourable</v>
      </c>
      <c r="F4" s="51" t="s">
        <v>120</v>
      </c>
      <c r="G4" s="51" t="s">
        <v>123</v>
      </c>
    </row>
    <row r="5" spans="1:21" ht="75" x14ac:dyDescent="0.25">
      <c r="A5" s="52">
        <v>2</v>
      </c>
      <c r="B5" s="52" t="str" cm="1">
        <f t="array" ref="B5">INDEX('Budget vs Actual'!$A$4:$A$21,MATCH(D5,ABS('Budget vs Actual'!$F$4:$F$21),0))</f>
        <v>Operating Profit</v>
      </c>
      <c r="C5" s="53" cm="1">
        <f t="array" ref="C5">INDEX('Budget vs Actual'!$B$4:$B$21,MATCH(D5,ABS('Budget vs Actual'!$F$4:$F$21),0))</f>
        <v>46022</v>
      </c>
      <c r="D5" s="54" cm="1">
        <f t="array" ref="D5">LARGE(ABS('Budget vs Actual'!$F$4:$F$21),2)</f>
        <v>0.15954013715207749</v>
      </c>
      <c r="E5" s="52" t="str" cm="1">
        <f t="array" ref="E5">INDEX('Budget vs Actual'!$G$4:$G$21,MATCH(D5,ABS('Budget vs Actual'!$F$4:$F$21),0))</f>
        <v>Favourable</v>
      </c>
      <c r="F5" s="51" t="s">
        <v>124</v>
      </c>
      <c r="G5" s="51" t="s">
        <v>125</v>
      </c>
    </row>
    <row r="6" spans="1:21" ht="75.75" customHeight="1" x14ac:dyDescent="0.25">
      <c r="A6" s="52">
        <v>3</v>
      </c>
      <c r="B6" s="52" t="str" cm="1">
        <f t="array" ref="B6">INDEX('Budget vs Actual'!$A$4:$A$21,MATCH(D6,ABS('Budget vs Actual'!$F$4:$F$21),0))</f>
        <v>Operating Profit</v>
      </c>
      <c r="C6" s="53" cm="1">
        <f t="array" ref="C6">INDEX('Budget vs Actual'!$B$4:$B$21,MATCH(D6,ABS('Budget vs Actual'!$F$4:$F$21),0))</f>
        <v>46203</v>
      </c>
      <c r="D6" s="54" cm="1">
        <f t="array" ref="D6">LARGE(ABS('Budget vs Actual'!$F$4:$F$21),3)</f>
        <v>0.11449082690773731</v>
      </c>
      <c r="E6" s="52" t="str" cm="1">
        <f t="array" ref="E6">INDEX('Budget vs Actual'!$G$4:$G$21,MATCH(D6,ABS('Budget vs Actual'!$F$4:$F$21),0))</f>
        <v>Favourable</v>
      </c>
      <c r="F6" s="51" t="s">
        <v>126</v>
      </c>
      <c r="G6" s="51" t="s">
        <v>127</v>
      </c>
    </row>
    <row r="7" spans="1:21" ht="90" x14ac:dyDescent="0.25">
      <c r="A7" s="52">
        <v>4</v>
      </c>
      <c r="B7" s="52" t="str" cm="1">
        <f t="array" ref="B7">INDEX('Budget vs Actual'!$A$4:$A$21,MATCH(D7,ABS('Budget vs Actual'!$F$4:$F$21),0))</f>
        <v>Expenses</v>
      </c>
      <c r="C7" s="53" cm="1">
        <f t="array" ref="C7">INDEX('Budget vs Actual'!$B$4:$B$21,MATCH(D7,ABS('Budget vs Actual'!$F$4:$F$21),0))</f>
        <v>45838</v>
      </c>
      <c r="D7" s="54" cm="1">
        <f t="array" ref="D7">LARGE(ABS('Budget vs Actual'!$F$4:$F$21),4)</f>
        <v>0.1065799707201024</v>
      </c>
      <c r="E7" s="52" t="str" cm="1">
        <f t="array" ref="E7">INDEX('Budget vs Actual'!$G$4:$G$21,MATCH(D7,ABS('Budget vs Actual'!$F$4:$F$21),0))</f>
        <v>Unfavourable</v>
      </c>
      <c r="F7" s="51" t="s">
        <v>128</v>
      </c>
      <c r="G7" s="51" t="s">
        <v>129</v>
      </c>
    </row>
    <row r="15" spans="1:21" x14ac:dyDescent="0.25">
      <c r="U15" t="s">
        <v>118</v>
      </c>
    </row>
  </sheetData>
  <conditionalFormatting sqref="E4:E7">
    <cfRule type="cellIs" dxfId="3" priority="1" operator="equal">
      <formula>"Unfavourable"</formula>
    </cfRule>
    <cfRule type="cellIs" dxfId="2" priority="2" operator="equal">
      <formula>"Favourable"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96E78-8AD1-40D3-88B6-DAB0B7416DB7}">
  <dimension ref="A1:F1"/>
  <sheetViews>
    <sheetView workbookViewId="0">
      <selection activeCell="L10" sqref="L10"/>
    </sheetView>
  </sheetViews>
  <sheetFormatPr defaultRowHeight="15" x14ac:dyDescent="0.25"/>
  <sheetData>
    <row r="1" spans="1:6" ht="17.25" x14ac:dyDescent="0.4">
      <c r="A1" s="33" t="s">
        <v>131</v>
      </c>
      <c r="B1" s="33"/>
      <c r="C1" s="33"/>
      <c r="D1" s="33"/>
      <c r="E1" s="33"/>
      <c r="F1" s="33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AD4B9-9C16-4253-BDE8-6DC102CAE108}">
  <dimension ref="A1:N21"/>
  <sheetViews>
    <sheetView topLeftCell="J1" workbookViewId="0">
      <selection activeCell="K4" sqref="K4"/>
    </sheetView>
  </sheetViews>
  <sheetFormatPr defaultRowHeight="15" x14ac:dyDescent="0.25"/>
  <cols>
    <col min="1" max="1" width="15.42578125" bestFit="1" customWidth="1"/>
    <col min="2" max="2" width="8.5703125" customWidth="1"/>
    <col min="3" max="3" width="14.7109375" bestFit="1" customWidth="1"/>
    <col min="4" max="4" width="7.85546875" bestFit="1" customWidth="1"/>
    <col min="6" max="6" width="10.7109375" bestFit="1" customWidth="1"/>
    <col min="7" max="7" width="13.85546875" customWidth="1"/>
    <col min="12" max="12" width="13.140625" bestFit="1" customWidth="1"/>
    <col min="13" max="13" width="21.7109375" bestFit="1" customWidth="1"/>
    <col min="14" max="14" width="13.28515625" bestFit="1" customWidth="1"/>
  </cols>
  <sheetData>
    <row r="1" spans="1:14" ht="17.25" x14ac:dyDescent="0.4">
      <c r="A1" s="33" t="s">
        <v>109</v>
      </c>
      <c r="B1" s="33"/>
      <c r="C1" s="33"/>
      <c r="L1">
        <v>6</v>
      </c>
    </row>
    <row r="3" spans="1:14" x14ac:dyDescent="0.25">
      <c r="A3" s="35" t="s">
        <v>110</v>
      </c>
      <c r="B3" s="35" t="s">
        <v>107</v>
      </c>
      <c r="C3" s="35" t="s">
        <v>93</v>
      </c>
      <c r="D3" s="35" t="s">
        <v>94</v>
      </c>
      <c r="E3" s="35" t="s">
        <v>95</v>
      </c>
      <c r="F3" s="35" t="s">
        <v>96</v>
      </c>
      <c r="G3" s="35" t="s">
        <v>111</v>
      </c>
      <c r="J3" s="35" t="s">
        <v>107</v>
      </c>
      <c r="K3" s="35" t="s">
        <v>139</v>
      </c>
      <c r="L3" s="35" t="s">
        <v>94</v>
      </c>
      <c r="M3" s="35" t="s">
        <v>140</v>
      </c>
      <c r="N3" s="35" t="s">
        <v>96</v>
      </c>
    </row>
    <row r="4" spans="1:14" x14ac:dyDescent="0.25">
      <c r="A4" t="str">
        <f>Quarters!$A$4</f>
        <v>Sales</v>
      </c>
      <c r="B4" s="36" cm="1">
        <f t="array" ref="B4:B9">TRANSPOSE(Quarters!F3:K3)</f>
        <v>45747</v>
      </c>
      <c r="C4" cm="1">
        <f t="array" ref="C4">_xlfn.XLOOKUP(1,(Model_Data!A:A=$A4)*(Model_Data!B:B=TEXT(EDATE($B4,-12),"mmm-yy")),Model_Data!C:C)</f>
        <v>4069.36</v>
      </c>
      <c r="D4" cm="1">
        <f t="array" ref="D4">_xlfn.XLOOKUP(1,(Model_Data!A:A=$A4)*(Model_Data!B:B=TEXT($B4,"mmm-yy")),Model_Data!C:C)</f>
        <v>4432.1899999999996</v>
      </c>
      <c r="E4">
        <f>D4-C4</f>
        <v>362.82999999999947</v>
      </c>
      <c r="F4" s="34">
        <f>E4/C4</f>
        <v>8.9161440619655044E-2</v>
      </c>
      <c r="G4" t="str">
        <f>IF(E4&gt;0,"Favourable","Unfavourable")</f>
        <v>Favourable</v>
      </c>
      <c r="J4" s="36">
        <f>B4</f>
        <v>45747</v>
      </c>
      <c r="K4">
        <f>IF(Dashboard!$L$10="Sales",C4,IF(Dashboard!$L$10="Expenses",C10,C16))</f>
        <v>3285.71</v>
      </c>
      <c r="L4">
        <f>IF(Dashboard!$L$10="Sales",D4,IF(Dashboard!$L$10="Expenses",D10,D16))</f>
        <v>3631.67</v>
      </c>
      <c r="M4">
        <f>MAX(K4,L4)+300</f>
        <v>3931.67</v>
      </c>
      <c r="N4" s="74">
        <f>L4/K4-1</f>
        <v>0.10529231125084082</v>
      </c>
    </row>
    <row r="5" spans="1:14" x14ac:dyDescent="0.25">
      <c r="A5" t="str">
        <f>Quarters!$A$4</f>
        <v>Sales</v>
      </c>
      <c r="B5" s="36">
        <v>45838</v>
      </c>
      <c r="C5" cm="1">
        <f t="array" ref="C5">_xlfn.XLOOKUP(1,(Model_Data!A:A=$A5)*(Model_Data!B:B=TEXT(EDATE($B5,-12),"mmm-yy")),Model_Data!C:C)</f>
        <v>4250.29</v>
      </c>
      <c r="D5" cm="1">
        <f t="array" ref="D5">_xlfn.XLOOKUP(1,(Model_Data!A:A=$A5)*(Model_Data!B:B=TEXT($B5,"mmm-yy")),Model_Data!C:C)</f>
        <v>4622.22</v>
      </c>
      <c r="E5">
        <f>D5-C5</f>
        <v>371.93000000000029</v>
      </c>
      <c r="F5" s="34">
        <f>E5/C5</f>
        <v>8.7506970112627674E-2</v>
      </c>
      <c r="G5" t="str">
        <f>IF(E5&gt;0,"Favourable","Unfavourable")</f>
        <v>Favourable</v>
      </c>
      <c r="J5" s="36">
        <f t="shared" ref="J5:J9" si="0">B5</f>
        <v>45838</v>
      </c>
      <c r="K5">
        <f>IF(Dashboard!$L$10="Sales",C5,IF(Dashboard!$L$10="Expenses",C11,C17))</f>
        <v>3497.28</v>
      </c>
      <c r="L5">
        <f>IF(Dashboard!$L$10="Sales",D5,IF(Dashboard!$L$10="Expenses",D11,D17))</f>
        <v>3870.02</v>
      </c>
      <c r="M5">
        <f t="shared" ref="M5:M9" si="1">MAX(K5,L5)+300</f>
        <v>4170.0200000000004</v>
      </c>
      <c r="N5" s="74">
        <f t="shared" ref="N5:N9" si="2">L5/K5-1</f>
        <v>0.1065799707201025</v>
      </c>
    </row>
    <row r="6" spans="1:14" x14ac:dyDescent="0.25">
      <c r="A6" t="str">
        <f>Quarters!$A$4</f>
        <v>Sales</v>
      </c>
      <c r="B6" s="36">
        <v>45930</v>
      </c>
      <c r="C6" cm="1">
        <f t="array" ref="C6">_xlfn.XLOOKUP(1,(Model_Data!A:A=$A6)*(Model_Data!B:B=TEXT(EDATE($B6,-12),"mmm-yy")),Model_Data!C:C)</f>
        <v>4667.57</v>
      </c>
      <c r="D6" cm="1">
        <f t="array" ref="D6">_xlfn.XLOOKUP(1,(Model_Data!A:A=$A6)*(Model_Data!B:B=TEXT($B6,"mmm-yy")),Model_Data!C:C)</f>
        <v>4840.63</v>
      </c>
      <c r="E6">
        <f>D6-C6</f>
        <v>173.0600000000004</v>
      </c>
      <c r="F6" s="34">
        <f>E6/C6</f>
        <v>3.7077108645398017E-2</v>
      </c>
      <c r="G6" t="str">
        <f t="shared" ref="G6:G9" si="3">IF(E6&gt;0,"Favourable","Unfavourable")</f>
        <v>Favourable</v>
      </c>
      <c r="J6" s="36">
        <f t="shared" si="0"/>
        <v>45930</v>
      </c>
      <c r="K6">
        <f>IF(Dashboard!$L$10="Sales",C6,IF(Dashboard!$L$10="Expenses",C12,C18))</f>
        <v>3887.56</v>
      </c>
      <c r="L6">
        <f>IF(Dashboard!$L$10="Sales",D6,IF(Dashboard!$L$10="Expenses",D12,D18))</f>
        <v>3889.39</v>
      </c>
      <c r="M6">
        <f t="shared" si="1"/>
        <v>4189.3899999999994</v>
      </c>
      <c r="N6" s="74">
        <f t="shared" si="2"/>
        <v>4.7073228451788296E-4</v>
      </c>
    </row>
    <row r="7" spans="1:14" x14ac:dyDescent="0.25">
      <c r="A7" t="str">
        <f>Quarters!$A$4</f>
        <v>Sales</v>
      </c>
      <c r="B7" s="36">
        <v>46022</v>
      </c>
      <c r="C7" cm="1">
        <f t="array" ref="C7">_xlfn.XLOOKUP(1,(Model_Data!A:A=$A7)*(Model_Data!B:B=TEXT(EDATE($B7,-12),"mmm-yy")),Model_Data!C:C)</f>
        <v>4592.6099999999997</v>
      </c>
      <c r="D7" cm="1">
        <f t="array" ref="D7">_xlfn.XLOOKUP(1,(Model_Data!A:A=$A7)*(Model_Data!B:B=TEXT($B7,"mmm-yy")),Model_Data!C:C)</f>
        <v>4969.82</v>
      </c>
      <c r="E7">
        <f t="shared" ref="E7:E9" si="4">D7-C7</f>
        <v>377.21000000000004</v>
      </c>
      <c r="F7" s="34">
        <f t="shared" ref="F7:F9" si="5">E7/C7</f>
        <v>8.2134124169045503E-2</v>
      </c>
      <c r="G7" t="str">
        <f t="shared" si="3"/>
        <v>Favourable</v>
      </c>
      <c r="J7" s="36">
        <f t="shared" si="0"/>
        <v>46022</v>
      </c>
      <c r="K7">
        <f>IF(Dashboard!$L$10="Sales",C7,IF(Dashboard!$L$10="Expenses",C13,C19))</f>
        <v>3749.75</v>
      </c>
      <c r="L7">
        <f>IF(Dashboard!$L$10="Sales",D7,IF(Dashboard!$L$10="Expenses",D13,D19))</f>
        <v>3992.49</v>
      </c>
      <c r="M7">
        <f t="shared" si="1"/>
        <v>4292.49</v>
      </c>
      <c r="N7" s="74">
        <f t="shared" si="2"/>
        <v>6.4734982332155466E-2</v>
      </c>
    </row>
    <row r="8" spans="1:14" x14ac:dyDescent="0.25">
      <c r="A8" t="str">
        <f>Quarters!$A$4</f>
        <v>Sales</v>
      </c>
      <c r="B8" s="36">
        <v>46112</v>
      </c>
      <c r="C8" cm="1">
        <f t="array" ref="C8">_xlfn.XLOOKUP(1,(Model_Data!A:A=$A8)*(Model_Data!B:B=TEXT(EDATE($B8,-12),"mmm-yy")),Model_Data!C:C)</f>
        <v>4432.1899999999996</v>
      </c>
      <c r="D8" cm="1">
        <f t="array" ref="D8">_xlfn.XLOOKUP(1,(Model_Data!A:A=$A8)*(Model_Data!B:B=TEXT($B8,"mmm-yy")),Model_Data!C:C)</f>
        <v>4718.92</v>
      </c>
      <c r="E8">
        <f t="shared" si="4"/>
        <v>286.73000000000047</v>
      </c>
      <c r="F8" s="34">
        <f t="shared" si="5"/>
        <v>6.4692623736798405E-2</v>
      </c>
      <c r="G8" t="str">
        <f t="shared" si="3"/>
        <v>Favourable</v>
      </c>
      <c r="J8" s="36">
        <f t="shared" si="0"/>
        <v>46112</v>
      </c>
      <c r="K8">
        <f>IF(Dashboard!$L$10="Sales",C8,IF(Dashboard!$L$10="Expenses",C14,C20))</f>
        <v>3631.67</v>
      </c>
      <c r="L8">
        <f>IF(Dashboard!$L$10="Sales",D8,IF(Dashboard!$L$10="Expenses",D14,D20))</f>
        <v>3885.35</v>
      </c>
      <c r="M8">
        <f t="shared" si="1"/>
        <v>4185.3500000000004</v>
      </c>
      <c r="N8" s="74">
        <f t="shared" si="2"/>
        <v>6.9852161677685487E-2</v>
      </c>
    </row>
    <row r="9" spans="1:14" x14ac:dyDescent="0.25">
      <c r="A9" t="str">
        <f>Quarters!$A$4</f>
        <v>Sales</v>
      </c>
      <c r="B9" s="36">
        <v>46203</v>
      </c>
      <c r="C9" cm="1">
        <f t="array" ref="C9">_xlfn.XLOOKUP(1,(Model_Data!A:A=$A9)*(Model_Data!B:B=TEXT(EDATE($B9,-12),"mmm-yy")),Model_Data!C:C)</f>
        <v>4622.22</v>
      </c>
      <c r="D9" cm="1">
        <f t="array" ref="D9">_xlfn.XLOOKUP(1,(Model_Data!A:A=$A9)*(Model_Data!B:B=TEXT($B9,"mmm-yy")),Model_Data!C:C)</f>
        <v>4999.97</v>
      </c>
      <c r="E9">
        <f t="shared" si="4"/>
        <v>377.75</v>
      </c>
      <c r="F9" s="34">
        <f t="shared" si="5"/>
        <v>8.172479890615332E-2</v>
      </c>
      <c r="G9" t="str">
        <f t="shared" si="3"/>
        <v>Favourable</v>
      </c>
      <c r="J9" s="36">
        <f t="shared" si="0"/>
        <v>46203</v>
      </c>
      <c r="K9">
        <f>IF(Dashboard!$L$10="Sales",C9,IF(Dashboard!$L$10="Expenses",C15,C21))</f>
        <v>3870.02</v>
      </c>
      <c r="L9">
        <f>IF(Dashboard!$L$10="Sales",D9,IF(Dashboard!$L$10="Expenses",D15,D21))</f>
        <v>4161.6499999999996</v>
      </c>
      <c r="M9">
        <f t="shared" si="1"/>
        <v>4461.6499999999996</v>
      </c>
      <c r="N9" s="74">
        <f t="shared" si="2"/>
        <v>7.5356199709562199E-2</v>
      </c>
    </row>
    <row r="10" spans="1:14" x14ac:dyDescent="0.25">
      <c r="A10" t="str">
        <f>Quarters!$A$5</f>
        <v>Expenses</v>
      </c>
      <c r="B10" s="36" cm="1">
        <f t="array" ref="B10:B15">TRANSPOSE(Quarters!F3:K3)</f>
        <v>45747</v>
      </c>
      <c r="C10" cm="1">
        <f t="array" ref="C10">_xlfn.XLOOKUP(1,(Model_Data!A:A=$A10)*(Model_Data!B:B=TEXT(EDATE($B10,-12),"mmm-yy")),Model_Data!C:C)</f>
        <v>3285.71</v>
      </c>
      <c r="D10" cm="1">
        <f t="array" ref="D10">_xlfn.XLOOKUP(1,(Model_Data!A:A=$A10)*(Model_Data!B:B=TEXT($B10,"mmm-yy")),Model_Data!C:C)</f>
        <v>3631.67</v>
      </c>
      <c r="E10">
        <f t="shared" ref="E10" si="6">D10-C10</f>
        <v>345.96000000000004</v>
      </c>
      <c r="F10" s="34">
        <f t="shared" ref="F10" si="7">E10/C10</f>
        <v>0.10529231125084078</v>
      </c>
      <c r="G10" t="str">
        <f>IF(E10&lt;0,"Favourable","Unfavourable")</f>
        <v>Unfavourable</v>
      </c>
    </row>
    <row r="11" spans="1:14" x14ac:dyDescent="0.25">
      <c r="A11" t="str">
        <f>Quarters!$A$5</f>
        <v>Expenses</v>
      </c>
      <c r="B11" s="36">
        <v>45838</v>
      </c>
      <c r="C11" cm="1">
        <f t="array" ref="C11">_xlfn.XLOOKUP(1,(Model_Data!A:A=$A11)*(Model_Data!B:B=TEXT(EDATE($B11,-12),"mmm-yy")),Model_Data!C:C)</f>
        <v>3497.28</v>
      </c>
      <c r="D11" cm="1">
        <f t="array" ref="D11">_xlfn.XLOOKUP(1,(Model_Data!A:A=$A11)*(Model_Data!B:B=TEXT($B11,"mmm-yy")),Model_Data!C:C)</f>
        <v>3870.02</v>
      </c>
      <c r="E11">
        <f t="shared" ref="E11:E21" si="8">D11-C11</f>
        <v>372.73999999999978</v>
      </c>
      <c r="F11" s="34">
        <f t="shared" ref="F11:F21" si="9">E11/C11</f>
        <v>0.1065799707201024</v>
      </c>
      <c r="G11" t="str">
        <f t="shared" ref="G11:G15" si="10">IF(E11&lt;0,"Favourable","Unfavourable")</f>
        <v>Unfavourable</v>
      </c>
    </row>
    <row r="12" spans="1:14" x14ac:dyDescent="0.25">
      <c r="A12" t="str">
        <f>Quarters!$A$5</f>
        <v>Expenses</v>
      </c>
      <c r="B12" s="36">
        <v>45930</v>
      </c>
      <c r="C12" cm="1">
        <f t="array" ref="C12">_xlfn.XLOOKUP(1,(Model_Data!A:A=$A12)*(Model_Data!B:B=TEXT(EDATE($B12,-12),"mmm-yy")),Model_Data!C:C)</f>
        <v>3887.56</v>
      </c>
      <c r="D12" cm="1">
        <f t="array" ref="D12">_xlfn.XLOOKUP(1,(Model_Data!A:A=$A12)*(Model_Data!B:B=TEXT($B12,"mmm-yy")),Model_Data!C:C)</f>
        <v>3889.39</v>
      </c>
      <c r="E12">
        <f t="shared" si="8"/>
        <v>1.8299999999999272</v>
      </c>
      <c r="F12" s="34">
        <f t="shared" si="9"/>
        <v>4.7073228451777649E-4</v>
      </c>
      <c r="G12" t="str">
        <f t="shared" si="10"/>
        <v>Unfavourable</v>
      </c>
    </row>
    <row r="13" spans="1:14" x14ac:dyDescent="0.25">
      <c r="A13" t="str">
        <f>Quarters!$A$5</f>
        <v>Expenses</v>
      </c>
      <c r="B13" s="36">
        <v>46022</v>
      </c>
      <c r="C13" cm="1">
        <f t="array" ref="C13">_xlfn.XLOOKUP(1,(Model_Data!A:A=$A13)*(Model_Data!B:B=TEXT(EDATE($B13,-12),"mmm-yy")),Model_Data!C:C)</f>
        <v>3749.75</v>
      </c>
      <c r="D13" cm="1">
        <f t="array" ref="D13">_xlfn.XLOOKUP(1,(Model_Data!A:A=$A13)*(Model_Data!B:B=TEXT($B13,"mmm-yy")),Model_Data!C:C)</f>
        <v>3992.49</v>
      </c>
      <c r="E13">
        <f t="shared" si="8"/>
        <v>242.73999999999978</v>
      </c>
      <c r="F13" s="34">
        <f t="shared" si="9"/>
        <v>6.4734982332155425E-2</v>
      </c>
      <c r="G13" t="str">
        <f t="shared" si="10"/>
        <v>Unfavourable</v>
      </c>
    </row>
    <row r="14" spans="1:14" x14ac:dyDescent="0.25">
      <c r="A14" t="str">
        <f>Quarters!$A$5</f>
        <v>Expenses</v>
      </c>
      <c r="B14" s="36">
        <v>46112</v>
      </c>
      <c r="C14" cm="1">
        <f t="array" ref="C14">_xlfn.XLOOKUP(1,(Model_Data!A:A=$A14)*(Model_Data!B:B=TEXT(EDATE($B14,-12),"mmm-yy")),Model_Data!C:C)</f>
        <v>3631.67</v>
      </c>
      <c r="D14" cm="1">
        <f t="array" ref="D14">_xlfn.XLOOKUP(1,(Model_Data!A:A=$A14)*(Model_Data!B:B=TEXT($B14,"mmm-yy")),Model_Data!C:C)</f>
        <v>3885.35</v>
      </c>
      <c r="E14">
        <f t="shared" si="8"/>
        <v>253.67999999999984</v>
      </c>
      <c r="F14" s="34">
        <f t="shared" si="9"/>
        <v>6.9852161677685431E-2</v>
      </c>
      <c r="G14" t="str">
        <f t="shared" si="10"/>
        <v>Unfavourable</v>
      </c>
    </row>
    <row r="15" spans="1:14" x14ac:dyDescent="0.25">
      <c r="A15" t="str">
        <f>Quarters!$A$5</f>
        <v>Expenses</v>
      </c>
      <c r="B15" s="36">
        <v>46203</v>
      </c>
      <c r="C15" cm="1">
        <f t="array" ref="C15">_xlfn.XLOOKUP(1,(Model_Data!A:A=$A15)*(Model_Data!B:B=TEXT(EDATE($B15,-12),"mmm-yy")),Model_Data!C:C)</f>
        <v>3870.02</v>
      </c>
      <c r="D15" cm="1">
        <f t="array" ref="D15">_xlfn.XLOOKUP(1,(Model_Data!A:A=$A15)*(Model_Data!B:B=TEXT($B15,"mmm-yy")),Model_Data!C:C)</f>
        <v>4161.6499999999996</v>
      </c>
      <c r="E15">
        <f t="shared" si="8"/>
        <v>291.62999999999965</v>
      </c>
      <c r="F15" s="34">
        <f t="shared" si="9"/>
        <v>7.535619970956213E-2</v>
      </c>
      <c r="G15" t="str">
        <f t="shared" si="10"/>
        <v>Unfavourable</v>
      </c>
    </row>
    <row r="16" spans="1:14" x14ac:dyDescent="0.25">
      <c r="A16" t="str">
        <f>Quarters!$A$6</f>
        <v>Operating Profit</v>
      </c>
      <c r="B16" s="36" cm="1">
        <f t="array" ref="B16:B21">TRANSPOSE(Quarters!F3:K3)</f>
        <v>45747</v>
      </c>
      <c r="C16" cm="1">
        <f t="array" ref="C16">_xlfn.XLOOKUP(1,(Model_Data!A:A=$A16)*(Model_Data!B:B=TEXT(EDATE($B16,-12),"mmm-yy")),Model_Data!C:C)</f>
        <v>783.65</v>
      </c>
      <c r="D16" cm="1">
        <f t="array" ref="D16">_xlfn.XLOOKUP(1,(Model_Data!A:A=$A16)*(Model_Data!B:B=TEXT($B16,"mmm-yy")),Model_Data!C:C)</f>
        <v>800.52</v>
      </c>
      <c r="E16">
        <f t="shared" si="8"/>
        <v>16.870000000000005</v>
      </c>
      <c r="F16" s="34">
        <f t="shared" si="9"/>
        <v>2.1527467619472985E-2</v>
      </c>
      <c r="G16" t="str">
        <f t="shared" ref="G16:G21" si="11">IF(E16&gt;0,"Favourable","Unfavourable")</f>
        <v>Favourable</v>
      </c>
    </row>
    <row r="17" spans="1:7" x14ac:dyDescent="0.25">
      <c r="A17" t="str">
        <f>Quarters!$A$6</f>
        <v>Operating Profit</v>
      </c>
      <c r="B17" s="36">
        <v>45838</v>
      </c>
      <c r="C17" cm="1">
        <f t="array" ref="C17">_xlfn.XLOOKUP(1,(Model_Data!A:A=$A17)*(Model_Data!B:B=TEXT(EDATE($B17,-12),"mmm-yy")),Model_Data!C:C)</f>
        <v>753.01</v>
      </c>
      <c r="D17" cm="1">
        <f t="array" ref="D17">_xlfn.XLOOKUP(1,(Model_Data!A:A=$A17)*(Model_Data!B:B=TEXT($B17,"mmm-yy")),Model_Data!C:C)</f>
        <v>752.2</v>
      </c>
      <c r="E17">
        <f t="shared" si="8"/>
        <v>-0.80999999999994543</v>
      </c>
      <c r="F17" s="34">
        <f t="shared" si="9"/>
        <v>-1.0756829258574858E-3</v>
      </c>
      <c r="G17" t="str">
        <f t="shared" si="11"/>
        <v>Unfavourable</v>
      </c>
    </row>
    <row r="18" spans="1:7" x14ac:dyDescent="0.25">
      <c r="A18" t="str">
        <f>Quarters!$A$6</f>
        <v>Operating Profit</v>
      </c>
      <c r="B18" s="36">
        <v>45930</v>
      </c>
      <c r="C18" cm="1">
        <f t="array" ref="C18">_xlfn.XLOOKUP(1,(Model_Data!A:A=$A18)*(Model_Data!B:B=TEXT(EDATE($B18,-12),"mmm-yy")),Model_Data!C:C)</f>
        <v>780.01</v>
      </c>
      <c r="D18" cm="1">
        <f t="array" ref="D18">_xlfn.XLOOKUP(1,(Model_Data!A:A=$A18)*(Model_Data!B:B=TEXT($B18,"mmm-yy")),Model_Data!C:C)</f>
        <v>951.24</v>
      </c>
      <c r="E18">
        <f t="shared" si="8"/>
        <v>171.23000000000002</v>
      </c>
      <c r="F18" s="34">
        <f t="shared" si="9"/>
        <v>0.21952282663042785</v>
      </c>
      <c r="G18" t="str">
        <f t="shared" si="11"/>
        <v>Favourable</v>
      </c>
    </row>
    <row r="19" spans="1:7" x14ac:dyDescent="0.25">
      <c r="A19" t="str">
        <f>Quarters!$A$6</f>
        <v>Operating Profit</v>
      </c>
      <c r="B19" s="36">
        <v>46022</v>
      </c>
      <c r="C19" cm="1">
        <f t="array" ref="C19">_xlfn.XLOOKUP(1,(Model_Data!A:A=$A19)*(Model_Data!B:B=TEXT(EDATE($B19,-12),"mmm-yy")),Model_Data!C:C)</f>
        <v>842.86</v>
      </c>
      <c r="D19" cm="1">
        <f t="array" ref="D19">_xlfn.XLOOKUP(1,(Model_Data!A:A=$A19)*(Model_Data!B:B=TEXT($B19,"mmm-yy")),Model_Data!C:C)</f>
        <v>977.33</v>
      </c>
      <c r="E19">
        <f t="shared" si="8"/>
        <v>134.47000000000003</v>
      </c>
      <c r="F19" s="34">
        <f t="shared" si="9"/>
        <v>0.15954013715207749</v>
      </c>
      <c r="G19" t="str">
        <f t="shared" si="11"/>
        <v>Favourable</v>
      </c>
    </row>
    <row r="20" spans="1:7" x14ac:dyDescent="0.25">
      <c r="A20" t="str">
        <f>Quarters!$A$6</f>
        <v>Operating Profit</v>
      </c>
      <c r="B20" s="36">
        <v>46112</v>
      </c>
      <c r="C20" cm="1">
        <f t="array" ref="C20">_xlfn.XLOOKUP(1,(Model_Data!A:A=$A20)*(Model_Data!B:B=TEXT(EDATE($B20,-12),"mmm-yy")),Model_Data!C:C)</f>
        <v>800.52</v>
      </c>
      <c r="D20" cm="1">
        <f t="array" ref="D20">_xlfn.XLOOKUP(1,(Model_Data!A:A=$A20)*(Model_Data!B:B=TEXT($B20,"mmm-yy")),Model_Data!C:C)</f>
        <v>833.57</v>
      </c>
      <c r="E20">
        <f t="shared" si="8"/>
        <v>33.050000000000068</v>
      </c>
      <c r="F20" s="34">
        <f t="shared" si="9"/>
        <v>4.1285664318193263E-2</v>
      </c>
      <c r="G20" t="str">
        <f t="shared" si="11"/>
        <v>Favourable</v>
      </c>
    </row>
    <row r="21" spans="1:7" x14ac:dyDescent="0.25">
      <c r="A21" t="str">
        <f>Quarters!$A$6</f>
        <v>Operating Profit</v>
      </c>
      <c r="B21" s="36">
        <v>46203</v>
      </c>
      <c r="C21" cm="1">
        <f t="array" ref="C21">_xlfn.XLOOKUP(1,(Model_Data!A:A=$A21)*(Model_Data!B:B=TEXT(EDATE($B21,-12),"mmm-yy")),Model_Data!C:C)</f>
        <v>752.2</v>
      </c>
      <c r="D21" cm="1">
        <f t="array" ref="D21">_xlfn.XLOOKUP(1,(Model_Data!A:A=$A21)*(Model_Data!B:B=TEXT($B21,"mmm-yy")),Model_Data!C:C)</f>
        <v>838.32</v>
      </c>
      <c r="E21">
        <f t="shared" si="8"/>
        <v>86.12</v>
      </c>
      <c r="F21" s="34">
        <f t="shared" si="9"/>
        <v>0.11449082690773731</v>
      </c>
      <c r="G21" t="str">
        <f t="shared" si="11"/>
        <v>Favourable</v>
      </c>
    </row>
  </sheetData>
  <conditionalFormatting sqref="G4:G21">
    <cfRule type="cellIs" dxfId="1" priority="1" operator="equal">
      <formula>"Unfavourable"</formula>
    </cfRule>
    <cfRule type="cellIs" dxfId="0" priority="2" operator="equal">
      <formula>"Favourable"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E75E8-D236-4407-99FF-92BFE315C79F}">
  <dimension ref="A1:M40"/>
  <sheetViews>
    <sheetView topLeftCell="B1" workbookViewId="0">
      <selection activeCell="K14" sqref="K14"/>
    </sheetView>
  </sheetViews>
  <sheetFormatPr defaultRowHeight="15" x14ac:dyDescent="0.25"/>
  <cols>
    <col min="3" max="3" width="9.5703125" bestFit="1" customWidth="1"/>
    <col min="5" max="5" width="28.5703125" bestFit="1" customWidth="1"/>
    <col min="6" max="6" width="16.5703125" bestFit="1" customWidth="1"/>
    <col min="7" max="7" width="3.5703125" customWidth="1"/>
    <col min="8" max="8" width="18.7109375" bestFit="1" customWidth="1"/>
    <col min="9" max="9" width="20.28515625" bestFit="1" customWidth="1"/>
    <col min="11" max="11" width="9.85546875" bestFit="1" customWidth="1"/>
    <col min="13" max="13" width="14.28515625" bestFit="1" customWidth="1"/>
  </cols>
  <sheetData>
    <row r="1" spans="1:13" ht="17.25" x14ac:dyDescent="0.4">
      <c r="A1" s="41" t="s">
        <v>117</v>
      </c>
      <c r="B1" s="41"/>
      <c r="C1" s="42" t="s">
        <v>6</v>
      </c>
      <c r="D1" s="43"/>
      <c r="E1" s="44" t="s">
        <v>114</v>
      </c>
      <c r="F1" s="45" t="s">
        <v>113</v>
      </c>
      <c r="G1" s="45"/>
      <c r="H1" s="45" t="s">
        <v>115</v>
      </c>
      <c r="I1" s="46" t="s">
        <v>116</v>
      </c>
      <c r="K1" s="75" t="s">
        <v>107</v>
      </c>
      <c r="L1" s="75" t="s">
        <v>94</v>
      </c>
      <c r="M1" s="75" t="s">
        <v>141</v>
      </c>
    </row>
    <row r="2" spans="1:13" x14ac:dyDescent="0.25">
      <c r="A2" s="39" t="s">
        <v>6</v>
      </c>
      <c r="B2" s="39"/>
      <c r="C2" s="39"/>
      <c r="D2" s="39"/>
      <c r="E2" s="47" cm="1">
        <f t="array" aca="1" ref="E2" ca="1">_xlfn.IFS(C1="Sales",AVERAGE(OFFSET(C13,-3,0,4,1)),C1="Expenses",AVERAGE(OFFSET(C27,-3,0,4,1)),C1="Operating Profit",AVERAGE(OFFSET(C40,-3,0,4,1)))</f>
        <v>2.0753563606475237E-2</v>
      </c>
      <c r="F2" s="48" cm="1">
        <f t="array" aca="1" ref="F2" ca="1">_xlfn.IFS(C1="Sales",B13*(1+E2),C1="Expenses",B27*(1+E2),C1="Operating Profit",B40*(1+E2))</f>
        <v>5103.7371954254686</v>
      </c>
      <c r="G2" s="48"/>
      <c r="H2" s="49" cm="1">
        <f t="array" ref="H2">_xlfn.IFS(C1="Sales",'Profit &amp; Loss'!M4,C1="Expenses",'Profit &amp; Loss'!M5,C1="Operating Profit",'Profit &amp; Loss'!M6)</f>
        <v>20441.963182073796</v>
      </c>
      <c r="I2" s="50" cm="1">
        <f t="array" ref="I2">_xlfn.IFS(C1="Sales",'Profit &amp; Loss'!N4,C1="Expenses",'Profit &amp; Loss'!N5,C1="Operating Profit",'Profit &amp; Loss'!N6)</f>
        <v>20229.581569918828</v>
      </c>
      <c r="K2" s="36" t="str">
        <f>"Q" &amp; ROUND(MONTH(A10)/3,0) &amp; " FY"&amp;YEAR(A10)</f>
        <v>Q3 FY2025</v>
      </c>
      <c r="L2">
        <f>B10</f>
        <v>4840.63</v>
      </c>
    </row>
    <row r="3" spans="1:13" x14ac:dyDescent="0.25">
      <c r="A3" s="35" t="s">
        <v>107</v>
      </c>
      <c r="B3" s="35" t="s">
        <v>94</v>
      </c>
      <c r="C3" s="35" t="s">
        <v>112</v>
      </c>
      <c r="K3" s="36" t="str">
        <f t="shared" ref="K3:K5" si="0">"Q" &amp; ROUND(MONTH(A11)/3,0) &amp; " FY"&amp;YEAR(A11)</f>
        <v>Q4 FY2025</v>
      </c>
      <c r="L3">
        <f t="shared" ref="L3:L5" si="1">B11</f>
        <v>4969.82</v>
      </c>
    </row>
    <row r="4" spans="1:13" x14ac:dyDescent="0.25">
      <c r="A4" s="36" cm="1">
        <f t="array" ref="A4:A13">TRANSPOSE(Quarters!B3:K3)</f>
        <v>45382</v>
      </c>
      <c r="B4" cm="1">
        <f t="array" ref="B4">_xlfn.XLOOKUP(1,(Model_Data!A:A="Sales")*(Model_Data!B:B=TEXT($A4,"mmm-yy")),Model_Data!C:C)</f>
        <v>4069.36</v>
      </c>
      <c r="C4" s="37"/>
      <c r="K4" s="36" t="str">
        <f t="shared" si="0"/>
        <v>Q1 FY2026</v>
      </c>
      <c r="L4">
        <f t="shared" si="1"/>
        <v>4718.92</v>
      </c>
    </row>
    <row r="5" spans="1:13" x14ac:dyDescent="0.25">
      <c r="A5" s="36">
        <v>45473</v>
      </c>
      <c r="B5" cm="1">
        <f t="array" ref="B5">_xlfn.XLOOKUP(1,(Model_Data!A:A="Sales")*(Model_Data!B:B=TEXT($A5,"mmm-yy")),Model_Data!C:C)</f>
        <v>4250.29</v>
      </c>
      <c r="C5" s="38">
        <f>(B5-B4)/B4</f>
        <v>4.4461536949299114E-2</v>
      </c>
      <c r="K5" s="36" t="str">
        <f t="shared" si="0"/>
        <v>Q2 FY2026</v>
      </c>
      <c r="L5">
        <f t="shared" si="1"/>
        <v>4999.97</v>
      </c>
      <c r="M5">
        <f>L5</f>
        <v>4999.97</v>
      </c>
    </row>
    <row r="6" spans="1:13" x14ac:dyDescent="0.25">
      <c r="A6" s="36">
        <v>45565</v>
      </c>
      <c r="B6" cm="1">
        <f t="array" ref="B6">_xlfn.XLOOKUP(1,(Model_Data!A:A="Sales")*(Model_Data!B:B=TEXT($A6,"mmm-yy")),Model_Data!C:C)</f>
        <v>4667.57</v>
      </c>
      <c r="C6" s="38">
        <f t="shared" ref="C6:C13" si="2">(B6-B5)/B5</f>
        <v>9.8176830286874489E-2</v>
      </c>
      <c r="K6" t="s">
        <v>144</v>
      </c>
      <c r="M6" s="76">
        <f ca="1">L5*(1+$E$2)</f>
        <v>5103.7371954254686</v>
      </c>
    </row>
    <row r="7" spans="1:13" x14ac:dyDescent="0.25">
      <c r="A7" s="36">
        <v>45657</v>
      </c>
      <c r="B7" cm="1">
        <f t="array" ref="B7">_xlfn.XLOOKUP(1,(Model_Data!A:A="Sales")*(Model_Data!B:B=TEXT($A7,"mmm-yy")),Model_Data!C:C)</f>
        <v>4592.6099999999997</v>
      </c>
      <c r="C7" s="38">
        <f t="shared" si="2"/>
        <v>-1.6059748434410204E-2</v>
      </c>
      <c r="K7" t="s">
        <v>145</v>
      </c>
      <c r="M7" s="76">
        <f ca="1">M6*(1+$E$2)</f>
        <v>5209.6579299414652</v>
      </c>
    </row>
    <row r="8" spans="1:13" x14ac:dyDescent="0.25">
      <c r="A8" s="36">
        <v>45747</v>
      </c>
      <c r="B8" cm="1">
        <f t="array" ref="B8">_xlfn.XLOOKUP(1,(Model_Data!A:A="Sales")*(Model_Data!B:B=TEXT($A8,"mmm-yy")),Model_Data!C:C)</f>
        <v>4432.1899999999996</v>
      </c>
      <c r="C8" s="38">
        <f t="shared" si="2"/>
        <v>-3.4930028894245339E-2</v>
      </c>
      <c r="K8" t="s">
        <v>142</v>
      </c>
      <c r="M8" s="76">
        <f t="shared" ref="M8:M9" ca="1" si="3">M7*(1+$E$2)</f>
        <v>5317.7768971584837</v>
      </c>
    </row>
    <row r="9" spans="1:13" x14ac:dyDescent="0.25">
      <c r="A9" s="36">
        <v>45838</v>
      </c>
      <c r="B9" cm="1">
        <f t="array" ref="B9">_xlfn.XLOOKUP(1,(Model_Data!A:A="Sales")*(Model_Data!B:B=TEXT($A9,"mmm-yy")),Model_Data!C:C)</f>
        <v>4622.22</v>
      </c>
      <c r="C9" s="38">
        <f t="shared" si="2"/>
        <v>4.2874967002768535E-2</v>
      </c>
      <c r="K9" t="s">
        <v>143</v>
      </c>
      <c r="M9" s="76">
        <f t="shared" ca="1" si="3"/>
        <v>5428.1397182387072</v>
      </c>
    </row>
    <row r="10" spans="1:13" x14ac:dyDescent="0.25">
      <c r="A10" s="36">
        <v>45930</v>
      </c>
      <c r="B10" cm="1">
        <f t="array" ref="B10">_xlfn.XLOOKUP(1,(Model_Data!A:A="Sales")*(Model_Data!B:B=TEXT($A10,"mmm-yy")),Model_Data!C:C)</f>
        <v>4840.63</v>
      </c>
      <c r="C10" s="38">
        <f t="shared" si="2"/>
        <v>4.7252186178935632E-2</v>
      </c>
    </row>
    <row r="11" spans="1:13" x14ac:dyDescent="0.25">
      <c r="A11" s="36">
        <v>46022</v>
      </c>
      <c r="B11" cm="1">
        <f t="array" ref="B11">_xlfn.XLOOKUP(1,(Model_Data!A:A="Sales")*(Model_Data!B:B=TEXT($A11,"mmm-yy")),Model_Data!C:C)</f>
        <v>4969.82</v>
      </c>
      <c r="C11" s="38">
        <f t="shared" si="2"/>
        <v>2.6688674821252523E-2</v>
      </c>
    </row>
    <row r="12" spans="1:13" x14ac:dyDescent="0.25">
      <c r="A12" s="36">
        <v>46112</v>
      </c>
      <c r="B12" cm="1">
        <f t="array" ref="B12">_xlfn.XLOOKUP(1,(Model_Data!A:A="Sales")*(Model_Data!B:B=TEXT($A12,"mmm-yy")),Model_Data!C:C)</f>
        <v>4718.92</v>
      </c>
      <c r="C12" s="38">
        <f t="shared" si="2"/>
        <v>-5.0484725804958663E-2</v>
      </c>
    </row>
    <row r="13" spans="1:13" x14ac:dyDescent="0.25">
      <c r="A13" s="36">
        <v>46203</v>
      </c>
      <c r="B13" cm="1">
        <f t="array" ref="B13">_xlfn.XLOOKUP(1,(Model_Data!A:A="Sales")*(Model_Data!B:B=TEXT($A13,"mmm-yy")),Model_Data!C:C)</f>
        <v>4999.97</v>
      </c>
      <c r="C13" s="38">
        <f t="shared" si="2"/>
        <v>5.9558119230671461E-2</v>
      </c>
    </row>
    <row r="16" spans="1:13" x14ac:dyDescent="0.25">
      <c r="A16" s="40" t="s">
        <v>7</v>
      </c>
      <c r="B16" s="39"/>
      <c r="C16" s="39"/>
      <c r="D16" s="39"/>
    </row>
    <row r="17" spans="1:4" x14ac:dyDescent="0.25">
      <c r="A17" s="35" t="s">
        <v>107</v>
      </c>
      <c r="B17" s="35" t="s">
        <v>94</v>
      </c>
      <c r="C17" s="35" t="s">
        <v>112</v>
      </c>
    </row>
    <row r="18" spans="1:4" x14ac:dyDescent="0.25">
      <c r="A18" s="36" cm="1">
        <f t="array" ref="A18:A27">TRANSPOSE(Quarters!B3:K3)</f>
        <v>45382</v>
      </c>
      <c r="B18" cm="1">
        <f t="array" ref="B18">_xlfn.XLOOKUP(1,(Model_Data!A:A="Expenses")*(Model_Data!B:B=TEXT($A18,"mmm-yy")),Model_Data!C:C)</f>
        <v>3285.71</v>
      </c>
      <c r="C18" s="37"/>
    </row>
    <row r="19" spans="1:4" x14ac:dyDescent="0.25">
      <c r="A19" s="36">
        <v>45473</v>
      </c>
      <c r="B19" cm="1">
        <f t="array" ref="B19">_xlfn.XLOOKUP(1,(Model_Data!A:A="Expenses")*(Model_Data!B:B=TEXT($A19,"mmm-yy")),Model_Data!C:C)</f>
        <v>3497.28</v>
      </c>
      <c r="C19" s="38">
        <f>(B19-B18)/B18</f>
        <v>6.4390953553417729E-2</v>
      </c>
    </row>
    <row r="20" spans="1:4" x14ac:dyDescent="0.25">
      <c r="A20" s="36">
        <v>45565</v>
      </c>
      <c r="B20" cm="1">
        <f t="array" ref="B20">_xlfn.XLOOKUP(1,(Model_Data!A:A="Expenses")*(Model_Data!B:B=TEXT($A20,"mmm-yy")),Model_Data!C:C)</f>
        <v>3887.56</v>
      </c>
      <c r="C20" s="38">
        <f t="shared" ref="C20:C27" si="4">(B20-B19)/B19</f>
        <v>0.11159529691646071</v>
      </c>
    </row>
    <row r="21" spans="1:4" x14ac:dyDescent="0.25">
      <c r="A21" s="36">
        <v>45657</v>
      </c>
      <c r="B21" cm="1">
        <f t="array" ref="B21">_xlfn.XLOOKUP(1,(Model_Data!A:A="Expenses")*(Model_Data!B:B=TEXT($A21,"mmm-yy")),Model_Data!C:C)</f>
        <v>3749.75</v>
      </c>
      <c r="C21" s="38">
        <f t="shared" si="4"/>
        <v>-3.5448970562512207E-2</v>
      </c>
    </row>
    <row r="22" spans="1:4" x14ac:dyDescent="0.25">
      <c r="A22" s="36">
        <v>45747</v>
      </c>
      <c r="B22" cm="1">
        <f t="array" ref="B22">_xlfn.XLOOKUP(1,(Model_Data!A:A="Expenses")*(Model_Data!B:B=TEXT($A22,"mmm-yy")),Model_Data!C:C)</f>
        <v>3631.67</v>
      </c>
      <c r="C22" s="38">
        <f t="shared" si="4"/>
        <v>-3.1490099339955981E-2</v>
      </c>
    </row>
    <row r="23" spans="1:4" x14ac:dyDescent="0.25">
      <c r="A23" s="36">
        <v>45838</v>
      </c>
      <c r="B23" cm="1">
        <f t="array" ref="B23">_xlfn.XLOOKUP(1,(Model_Data!A:A="Expenses")*(Model_Data!B:B=TEXT($A23,"mmm-yy")),Model_Data!C:C)</f>
        <v>3870.02</v>
      </c>
      <c r="C23" s="38">
        <f t="shared" si="4"/>
        <v>6.5630963165706102E-2</v>
      </c>
    </row>
    <row r="24" spans="1:4" x14ac:dyDescent="0.25">
      <c r="A24" s="36">
        <v>45930</v>
      </c>
      <c r="B24" cm="1">
        <f t="array" ref="B24">_xlfn.XLOOKUP(1,(Model_Data!A:A="Expenses")*(Model_Data!B:B=TEXT($A24,"mmm-yy")),Model_Data!C:C)</f>
        <v>3889.39</v>
      </c>
      <c r="C24" s="38">
        <f t="shared" si="4"/>
        <v>5.0051420922889002E-3</v>
      </c>
    </row>
    <row r="25" spans="1:4" x14ac:dyDescent="0.25">
      <c r="A25" s="36">
        <v>46022</v>
      </c>
      <c r="B25" cm="1">
        <f t="array" ref="B25">_xlfn.XLOOKUP(1,(Model_Data!A:A="Expenses")*(Model_Data!B:B=TEXT($A25,"mmm-yy")),Model_Data!C:C)</f>
        <v>3992.49</v>
      </c>
      <c r="C25" s="38">
        <f t="shared" si="4"/>
        <v>2.6508012824633147E-2</v>
      </c>
    </row>
    <row r="26" spans="1:4" x14ac:dyDescent="0.25">
      <c r="A26" s="36">
        <v>46112</v>
      </c>
      <c r="B26" cm="1">
        <f t="array" ref="B26">_xlfn.XLOOKUP(1,(Model_Data!A:A="Expenses")*(Model_Data!B:B=TEXT($A26,"mmm-yy")),Model_Data!C:C)</f>
        <v>3885.35</v>
      </c>
      <c r="C26" s="38">
        <f t="shared" si="4"/>
        <v>-2.6835383432394291E-2</v>
      </c>
    </row>
    <row r="27" spans="1:4" x14ac:dyDescent="0.25">
      <c r="A27" s="36">
        <v>46203</v>
      </c>
      <c r="B27" cm="1">
        <f t="array" ref="B27">_xlfn.XLOOKUP(1,(Model_Data!A:A="Expenses")*(Model_Data!B:B=TEXT($A27,"mmm-yy")),Model_Data!C:C)</f>
        <v>4161.6499999999996</v>
      </c>
      <c r="C27" s="38">
        <f t="shared" si="4"/>
        <v>7.1113284517482264E-2</v>
      </c>
    </row>
    <row r="29" spans="1:4" x14ac:dyDescent="0.25">
      <c r="A29" s="40" t="s">
        <v>8</v>
      </c>
      <c r="B29" s="39"/>
      <c r="C29" s="39"/>
      <c r="D29" s="39"/>
    </row>
    <row r="30" spans="1:4" x14ac:dyDescent="0.25">
      <c r="A30" s="35" t="s">
        <v>107</v>
      </c>
      <c r="B30" s="35" t="s">
        <v>94</v>
      </c>
      <c r="C30" s="35" t="s">
        <v>112</v>
      </c>
    </row>
    <row r="31" spans="1:4" x14ac:dyDescent="0.25">
      <c r="A31" s="36" cm="1">
        <f t="array" ref="A31:A40">TRANSPOSE(Quarters!B3:K3)</f>
        <v>45382</v>
      </c>
      <c r="B31" cm="1">
        <f t="array" ref="B31">_xlfn.XLOOKUP(1,(Model_Data!A:A="Operating Profit")*(Model_Data!B:B=TEXT($A31,"mmm-yy")),Model_Data!C:C)</f>
        <v>783.65</v>
      </c>
      <c r="C31" s="37"/>
    </row>
    <row r="32" spans="1:4" x14ac:dyDescent="0.25">
      <c r="A32" s="36">
        <v>45473</v>
      </c>
      <c r="B32" cm="1">
        <f t="array" ref="B32">_xlfn.XLOOKUP(1,(Model_Data!A:A="Operating Profit")*(Model_Data!B:B=TEXT($A32,"mmm-yy")),Model_Data!C:C)</f>
        <v>753.01</v>
      </c>
      <c r="C32" s="38">
        <f>(B32-B31)/B31</f>
        <v>-3.9099087602883921E-2</v>
      </c>
    </row>
    <row r="33" spans="1:3" x14ac:dyDescent="0.25">
      <c r="A33" s="36">
        <v>45565</v>
      </c>
      <c r="B33" cm="1">
        <f t="array" ref="B33">_xlfn.XLOOKUP(1,(Model_Data!A:A="Operating Profit")*(Model_Data!B:B=TEXT($A33,"mmm-yy")),Model_Data!C:C)</f>
        <v>780.01</v>
      </c>
      <c r="C33" s="38">
        <f t="shared" ref="C33:C40" si="5">(B33-B32)/B32</f>
        <v>3.5856097528585276E-2</v>
      </c>
    </row>
    <row r="34" spans="1:3" x14ac:dyDescent="0.25">
      <c r="A34" s="36">
        <v>45657</v>
      </c>
      <c r="B34" cm="1">
        <f t="array" ref="B34">_xlfn.XLOOKUP(1,(Model_Data!A:A="Operating Profit")*(Model_Data!B:B=TEXT($A34,"mmm-yy")),Model_Data!C:C)</f>
        <v>842.86</v>
      </c>
      <c r="C34" s="38">
        <f t="shared" si="5"/>
        <v>8.0575890052691668E-2</v>
      </c>
    </row>
    <row r="35" spans="1:3" x14ac:dyDescent="0.25">
      <c r="A35" s="36">
        <v>45747</v>
      </c>
      <c r="B35" cm="1">
        <f t="array" ref="B35">_xlfn.XLOOKUP(1,(Model_Data!A:A="Operating Profit")*(Model_Data!B:B=TEXT($A35,"mmm-yy")),Model_Data!C:C)</f>
        <v>800.52</v>
      </c>
      <c r="C35" s="38">
        <f t="shared" si="5"/>
        <v>-5.0233728021260984E-2</v>
      </c>
    </row>
    <row r="36" spans="1:3" x14ac:dyDescent="0.25">
      <c r="A36" s="36">
        <v>45838</v>
      </c>
      <c r="B36" cm="1">
        <f t="array" ref="B36">_xlfn.XLOOKUP(1,(Model_Data!A:A="Operating Profit")*(Model_Data!B:B=TEXT($A36,"mmm-yy")),Model_Data!C:C)</f>
        <v>752.2</v>
      </c>
      <c r="C36" s="38">
        <f t="shared" si="5"/>
        <v>-6.036076550242335E-2</v>
      </c>
    </row>
    <row r="37" spans="1:3" x14ac:dyDescent="0.25">
      <c r="A37" s="36">
        <v>45930</v>
      </c>
      <c r="B37" cm="1">
        <f t="array" ref="B37">_xlfn.XLOOKUP(1,(Model_Data!A:A="Operating Profit")*(Model_Data!B:B=TEXT($A37,"mmm-yy")),Model_Data!C:C)</f>
        <v>951.24</v>
      </c>
      <c r="C37" s="38">
        <f t="shared" si="5"/>
        <v>0.26461047593725068</v>
      </c>
    </row>
    <row r="38" spans="1:3" x14ac:dyDescent="0.25">
      <c r="A38" s="36">
        <v>46022</v>
      </c>
      <c r="B38" cm="1">
        <f t="array" ref="B38">_xlfn.XLOOKUP(1,(Model_Data!A:A="Operating Profit")*(Model_Data!B:B=TEXT($A38,"mmm-yy")),Model_Data!C:C)</f>
        <v>977.33</v>
      </c>
      <c r="C38" s="38">
        <f t="shared" si="5"/>
        <v>2.7427357974853909E-2</v>
      </c>
    </row>
    <row r="39" spans="1:3" x14ac:dyDescent="0.25">
      <c r="A39" s="36">
        <v>46112</v>
      </c>
      <c r="B39" cm="1">
        <f t="array" ref="B39">_xlfn.XLOOKUP(1,(Model_Data!A:A="Operating Profit")*(Model_Data!B:B=TEXT($A39,"mmm-yy")),Model_Data!C:C)</f>
        <v>833.57</v>
      </c>
      <c r="C39" s="38">
        <f t="shared" si="5"/>
        <v>-0.14709463538415887</v>
      </c>
    </row>
    <row r="40" spans="1:3" x14ac:dyDescent="0.25">
      <c r="A40" s="36">
        <v>46203</v>
      </c>
      <c r="B40" cm="1">
        <f t="array" ref="B40">_xlfn.XLOOKUP(1,(Model_Data!A:A="Operating Profit")*(Model_Data!B:B=TEXT($A40,"mmm-yy")),Model_Data!C:C)</f>
        <v>838.32</v>
      </c>
      <c r="C40" s="38">
        <f t="shared" si="5"/>
        <v>5.6983816596086704E-3</v>
      </c>
    </row>
  </sheetData>
  <dataValidations count="1">
    <dataValidation type="list" allowBlank="1" showInputMessage="1" showErrorMessage="1" sqref="C1" xr:uid="{56BCFA1B-C047-45D3-942B-F84F70DF8154}">
      <formula1>"Sales,Expenses,Operating Profit"</formula1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B4" activePane="bottomRight" state="frozen"/>
      <selection activeCell="C4" sqref="C4"/>
      <selection pane="topRight" activeCell="C4" sqref="C4"/>
      <selection pane="bottomLeft" activeCell="C4" sqref="C4"/>
      <selection pane="bottomRight" activeCell="C6" sqref="C6"/>
    </sheetView>
  </sheetViews>
  <sheetFormatPr defaultColWidth="8.85546875" defaultRowHeight="15" x14ac:dyDescent="0.25"/>
  <cols>
    <col min="1" max="1" width="22.85546875" style="11" bestFit="1" customWidth="1"/>
    <col min="2" max="2" width="13.42578125" style="11" customWidth="1"/>
    <col min="3" max="11" width="15.42578125" style="11" customWidth="1"/>
    <col min="12" max="16384" width="8.85546875" style="11"/>
  </cols>
  <sheetData>
    <row r="1" spans="1:11" s="8" customFormat="1" x14ac:dyDescent="0.25">
      <c r="A1" s="8" t="str">
        <f>'Profit &amp; Loss'!A1</f>
        <v>BRITANNIA INDUSTRIES LTD</v>
      </c>
      <c r="E1" t="str">
        <f>UPDATE</f>
        <v/>
      </c>
      <c r="G1"/>
      <c r="J1" s="4" t="s">
        <v>1</v>
      </c>
      <c r="K1" s="4"/>
    </row>
    <row r="2" spans="1:11" x14ac:dyDescent="0.25">
      <c r="G2" s="8"/>
      <c r="H2" s="8"/>
    </row>
    <row r="3" spans="1:11" s="18" customFormat="1" x14ac:dyDescent="0.25">
      <c r="A3" s="15" t="s">
        <v>2</v>
      </c>
      <c r="B3" s="16">
        <f>'Data Sheet'!B56</f>
        <v>42825</v>
      </c>
      <c r="C3" s="16">
        <f>'Data Sheet'!C56</f>
        <v>43190</v>
      </c>
      <c r="D3" s="16">
        <f>'Data Sheet'!D56</f>
        <v>43555</v>
      </c>
      <c r="E3" s="16">
        <f>'Data Sheet'!E56</f>
        <v>43921</v>
      </c>
      <c r="F3" s="16">
        <f>'Data Sheet'!F56</f>
        <v>44286</v>
      </c>
      <c r="G3" s="16">
        <f>'Data Sheet'!G56</f>
        <v>44651</v>
      </c>
      <c r="H3" s="16">
        <f>'Data Sheet'!H56</f>
        <v>45016</v>
      </c>
      <c r="I3" s="16">
        <f>'Data Sheet'!I56</f>
        <v>45382</v>
      </c>
      <c r="J3" s="16">
        <f>'Data Sheet'!J56</f>
        <v>45747</v>
      </c>
      <c r="K3" s="16">
        <f>'Data Sheet'!K56</f>
        <v>46112</v>
      </c>
    </row>
    <row r="4" spans="1:11" x14ac:dyDescent="0.25">
      <c r="A4" s="6" t="s">
        <v>24</v>
      </c>
      <c r="B4" s="19">
        <f>'Data Sheet'!B57</f>
        <v>24</v>
      </c>
      <c r="C4" s="19">
        <f>'Data Sheet'!C57</f>
        <v>24.01</v>
      </c>
      <c r="D4" s="19">
        <f>'Data Sheet'!D57</f>
        <v>24.03</v>
      </c>
      <c r="E4" s="19">
        <f>'Data Sheet'!E57</f>
        <v>24.05</v>
      </c>
      <c r="F4" s="19">
        <f>'Data Sheet'!F57</f>
        <v>24.09</v>
      </c>
      <c r="G4" s="19">
        <f>'Data Sheet'!G57</f>
        <v>24.09</v>
      </c>
      <c r="H4" s="19">
        <f>'Data Sheet'!H57</f>
        <v>24.09</v>
      </c>
      <c r="I4" s="19">
        <f>'Data Sheet'!I57</f>
        <v>24.09</v>
      </c>
      <c r="J4" s="19">
        <f>'Data Sheet'!J57</f>
        <v>24.09</v>
      </c>
      <c r="K4" s="19">
        <f>'Data Sheet'!K57</f>
        <v>24.09</v>
      </c>
    </row>
    <row r="5" spans="1:11" s="6" customFormat="1" x14ac:dyDescent="0.25">
      <c r="A5" s="6" t="s">
        <v>25</v>
      </c>
      <c r="B5" s="19">
        <f>'Data Sheet'!B58</f>
        <v>2672.42</v>
      </c>
      <c r="C5" s="19">
        <f>'Data Sheet'!C58</f>
        <v>3382.22</v>
      </c>
      <c r="D5" s="19">
        <f>'Data Sheet'!D58</f>
        <v>4229.22</v>
      </c>
      <c r="E5" s="19">
        <f>'Data Sheet'!E58</f>
        <v>4378.78</v>
      </c>
      <c r="F5" s="19">
        <f>'Data Sheet'!F58</f>
        <v>3523.57</v>
      </c>
      <c r="G5" s="19">
        <f>'Data Sheet'!G58</f>
        <v>2534.0100000000002</v>
      </c>
      <c r="H5" s="19">
        <f>'Data Sheet'!H58</f>
        <v>3510.18</v>
      </c>
      <c r="I5" s="19">
        <f>'Data Sheet'!I58</f>
        <v>3917.43</v>
      </c>
      <c r="J5" s="19">
        <f>'Data Sheet'!J58</f>
        <v>4331.63</v>
      </c>
      <c r="K5" s="19">
        <f>'Data Sheet'!K58</f>
        <v>5082.47</v>
      </c>
    </row>
    <row r="6" spans="1:11" x14ac:dyDescent="0.25">
      <c r="A6" s="11" t="s">
        <v>71</v>
      </c>
      <c r="B6" s="19">
        <f>'Data Sheet'!B59</f>
        <v>124.56</v>
      </c>
      <c r="C6" s="19">
        <f>'Data Sheet'!C59</f>
        <v>200.7</v>
      </c>
      <c r="D6" s="19">
        <f>'Data Sheet'!D59</f>
        <v>156.02000000000001</v>
      </c>
      <c r="E6" s="19">
        <f>'Data Sheet'!E59</f>
        <v>1537.59</v>
      </c>
      <c r="F6" s="19">
        <f>'Data Sheet'!F59</f>
        <v>2106.94</v>
      </c>
      <c r="G6" s="19">
        <f>'Data Sheet'!G59</f>
        <v>2481.1999999999998</v>
      </c>
      <c r="H6" s="19">
        <f>'Data Sheet'!H59</f>
        <v>2997.37</v>
      </c>
      <c r="I6" s="19">
        <f>'Data Sheet'!I59</f>
        <v>2064.96</v>
      </c>
      <c r="J6" s="19">
        <f>'Data Sheet'!J59</f>
        <v>1246.51</v>
      </c>
      <c r="K6" s="19">
        <f>'Data Sheet'!K59</f>
        <v>1380.28</v>
      </c>
    </row>
    <row r="7" spans="1:11" s="6" customFormat="1" x14ac:dyDescent="0.25">
      <c r="A7" s="11" t="s">
        <v>72</v>
      </c>
      <c r="B7" s="19">
        <f>'Data Sheet'!B60</f>
        <v>1287.82</v>
      </c>
      <c r="C7" s="19">
        <f>'Data Sheet'!C60</f>
        <v>1580.99</v>
      </c>
      <c r="D7" s="19">
        <f>'Data Sheet'!D60</f>
        <v>1828.68</v>
      </c>
      <c r="E7" s="19">
        <f>'Data Sheet'!E60</f>
        <v>1889.12</v>
      </c>
      <c r="F7" s="19">
        <f>'Data Sheet'!F60</f>
        <v>2345.4899999999998</v>
      </c>
      <c r="G7" s="19">
        <f>'Data Sheet'!G60</f>
        <v>2487.3000000000002</v>
      </c>
      <c r="H7" s="19">
        <f>'Data Sheet'!H60</f>
        <v>2819.21</v>
      </c>
      <c r="I7" s="19">
        <f>'Data Sheet'!I60</f>
        <v>3065.02</v>
      </c>
      <c r="J7" s="19">
        <f>'Data Sheet'!J60</f>
        <v>3234.52</v>
      </c>
      <c r="K7" s="19">
        <f>'Data Sheet'!K60</f>
        <v>3243.48</v>
      </c>
    </row>
    <row r="8" spans="1:11" s="8" customFormat="1" x14ac:dyDescent="0.25">
      <c r="A8" s="8" t="s">
        <v>26</v>
      </c>
      <c r="B8" s="20">
        <f>'Data Sheet'!B61</f>
        <v>4108.8</v>
      </c>
      <c r="C8" s="20">
        <f>'Data Sheet'!C61</f>
        <v>5187.92</v>
      </c>
      <c r="D8" s="20">
        <f>'Data Sheet'!D61</f>
        <v>6237.95</v>
      </c>
      <c r="E8" s="20">
        <f>'Data Sheet'!E61</f>
        <v>7829.54</v>
      </c>
      <c r="F8" s="20">
        <f>'Data Sheet'!F61</f>
        <v>8000.09</v>
      </c>
      <c r="G8" s="20">
        <f>'Data Sheet'!G61</f>
        <v>7526.6</v>
      </c>
      <c r="H8" s="20">
        <f>'Data Sheet'!H61</f>
        <v>9350.85</v>
      </c>
      <c r="I8" s="20">
        <f>'Data Sheet'!I61</f>
        <v>9071.5</v>
      </c>
      <c r="J8" s="20">
        <f>'Data Sheet'!J61</f>
        <v>8836.75</v>
      </c>
      <c r="K8" s="20">
        <f>'Data Sheet'!K61</f>
        <v>9730.32</v>
      </c>
    </row>
    <row r="9" spans="1:11" s="8" customFormat="1" x14ac:dyDescent="0.25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5">
      <c r="A10" s="6" t="s">
        <v>27</v>
      </c>
      <c r="B10" s="19">
        <f>'Data Sheet'!B62</f>
        <v>1159.99</v>
      </c>
      <c r="C10" s="19">
        <f>'Data Sheet'!C62</f>
        <v>1345.6</v>
      </c>
      <c r="D10" s="19">
        <f>'Data Sheet'!D62</f>
        <v>1688.3</v>
      </c>
      <c r="E10" s="19">
        <f>'Data Sheet'!E62</f>
        <v>1878.18</v>
      </c>
      <c r="F10" s="19">
        <f>'Data Sheet'!F62</f>
        <v>1792.95</v>
      </c>
      <c r="G10" s="19">
        <f>'Data Sheet'!G62</f>
        <v>1753.21</v>
      </c>
      <c r="H10" s="19">
        <f>'Data Sheet'!H62</f>
        <v>2655.22</v>
      </c>
      <c r="I10" s="19">
        <f>'Data Sheet'!I62</f>
        <v>2771.14</v>
      </c>
      <c r="J10" s="19">
        <f>'Data Sheet'!J62</f>
        <v>2903.8</v>
      </c>
      <c r="K10" s="19">
        <f>'Data Sheet'!K62</f>
        <v>2849.92</v>
      </c>
    </row>
    <row r="11" spans="1:11" x14ac:dyDescent="0.25">
      <c r="A11" s="6" t="s">
        <v>28</v>
      </c>
      <c r="B11" s="19">
        <f>'Data Sheet'!B63</f>
        <v>30.07</v>
      </c>
      <c r="C11" s="19">
        <f>'Data Sheet'!C63</f>
        <v>202.82</v>
      </c>
      <c r="D11" s="19">
        <f>'Data Sheet'!D63</f>
        <v>101.24</v>
      </c>
      <c r="E11" s="19">
        <f>'Data Sheet'!E63</f>
        <v>39.549999999999997</v>
      </c>
      <c r="F11" s="19">
        <f>'Data Sheet'!F63</f>
        <v>116.52</v>
      </c>
      <c r="G11" s="19">
        <f>'Data Sheet'!G63</f>
        <v>535.67999999999995</v>
      </c>
      <c r="H11" s="19">
        <f>'Data Sheet'!H63</f>
        <v>105</v>
      </c>
      <c r="I11" s="19">
        <f>'Data Sheet'!I63</f>
        <v>187.54</v>
      </c>
      <c r="J11" s="19">
        <f>'Data Sheet'!J63</f>
        <v>89.2</v>
      </c>
      <c r="K11" s="19">
        <f>'Data Sheet'!K63</f>
        <v>39.04</v>
      </c>
    </row>
    <row r="12" spans="1:11" x14ac:dyDescent="0.25">
      <c r="A12" s="6" t="s">
        <v>29</v>
      </c>
      <c r="B12" s="19">
        <f>'Data Sheet'!B64</f>
        <v>486.85</v>
      </c>
      <c r="C12" s="19">
        <f>'Data Sheet'!C64</f>
        <v>1079.28</v>
      </c>
      <c r="D12" s="19">
        <f>'Data Sheet'!D64</f>
        <v>1476.28</v>
      </c>
      <c r="E12" s="19">
        <f>'Data Sheet'!E64</f>
        <v>2893.23</v>
      </c>
      <c r="F12" s="19">
        <f>'Data Sheet'!F64</f>
        <v>2780.69</v>
      </c>
      <c r="G12" s="19">
        <f>'Data Sheet'!G64</f>
        <v>1762.37</v>
      </c>
      <c r="H12" s="19">
        <f>'Data Sheet'!H64</f>
        <v>3324.24</v>
      </c>
      <c r="I12" s="19">
        <f>'Data Sheet'!I64</f>
        <v>2766.72</v>
      </c>
      <c r="J12" s="19">
        <f>'Data Sheet'!J64</f>
        <v>2865.43</v>
      </c>
      <c r="K12" s="19">
        <f>'Data Sheet'!K64</f>
        <v>3609.76</v>
      </c>
    </row>
    <row r="13" spans="1:11" x14ac:dyDescent="0.25">
      <c r="A13" s="11" t="s">
        <v>73</v>
      </c>
      <c r="B13" s="19">
        <f>'Data Sheet'!B65</f>
        <v>2431.89</v>
      </c>
      <c r="C13" s="19">
        <f>'Data Sheet'!C65</f>
        <v>2560.2199999999998</v>
      </c>
      <c r="D13" s="19">
        <f>'Data Sheet'!D65</f>
        <v>2972.13</v>
      </c>
      <c r="E13" s="19">
        <f>'Data Sheet'!E65</f>
        <v>3018.58</v>
      </c>
      <c r="F13" s="19">
        <f>'Data Sheet'!F65</f>
        <v>3309.93</v>
      </c>
      <c r="G13" s="19">
        <f>'Data Sheet'!G65</f>
        <v>3475.34</v>
      </c>
      <c r="H13" s="19">
        <f>'Data Sheet'!H65</f>
        <v>3266.39</v>
      </c>
      <c r="I13" s="19">
        <f>'Data Sheet'!I65</f>
        <v>3346.1</v>
      </c>
      <c r="J13" s="19">
        <f>'Data Sheet'!J65</f>
        <v>2978.32</v>
      </c>
      <c r="K13" s="19">
        <f>'Data Sheet'!K65</f>
        <v>3231.6</v>
      </c>
    </row>
    <row r="14" spans="1:11" s="8" customFormat="1" x14ac:dyDescent="0.25">
      <c r="A14" s="8" t="s">
        <v>26</v>
      </c>
      <c r="B14" s="19">
        <f>'Data Sheet'!B66</f>
        <v>4108.8</v>
      </c>
      <c r="C14" s="19">
        <f>'Data Sheet'!C66</f>
        <v>5187.92</v>
      </c>
      <c r="D14" s="19">
        <f>'Data Sheet'!D66</f>
        <v>6237.95</v>
      </c>
      <c r="E14" s="19">
        <f>'Data Sheet'!E66</f>
        <v>7829.54</v>
      </c>
      <c r="F14" s="19">
        <f>'Data Sheet'!F66</f>
        <v>8000.09</v>
      </c>
      <c r="G14" s="19">
        <f>'Data Sheet'!G66</f>
        <v>7526.6</v>
      </c>
      <c r="H14" s="19">
        <f>'Data Sheet'!H66</f>
        <v>9350.85</v>
      </c>
      <c r="I14" s="19">
        <f>'Data Sheet'!I66</f>
        <v>9071.5</v>
      </c>
      <c r="J14" s="19">
        <f>'Data Sheet'!J66</f>
        <v>8836.75</v>
      </c>
      <c r="K14" s="19">
        <f>'Data Sheet'!K66</f>
        <v>9730.32</v>
      </c>
    </row>
    <row r="15" spans="1:11" x14ac:dyDescent="0.25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5">
      <c r="A16" s="29" t="s">
        <v>30</v>
      </c>
      <c r="B16" s="21">
        <f>B13-B7</f>
        <v>1144.07</v>
      </c>
      <c r="C16" s="21">
        <f t="shared" ref="C16:K16" si="0">C13-C7</f>
        <v>979.22999999999979</v>
      </c>
      <c r="D16" s="21">
        <f t="shared" si="0"/>
        <v>1143.45</v>
      </c>
      <c r="E16" s="21">
        <f t="shared" si="0"/>
        <v>1129.46</v>
      </c>
      <c r="F16" s="21">
        <f t="shared" si="0"/>
        <v>964.44</v>
      </c>
      <c r="G16" s="21">
        <f t="shared" si="0"/>
        <v>988.04</v>
      </c>
      <c r="H16" s="21">
        <f t="shared" si="0"/>
        <v>447.17999999999984</v>
      </c>
      <c r="I16" s="21">
        <f t="shared" si="0"/>
        <v>281.07999999999993</v>
      </c>
      <c r="J16" s="21">
        <f t="shared" si="0"/>
        <v>-256.19999999999982</v>
      </c>
      <c r="K16" s="21">
        <f t="shared" si="0"/>
        <v>-11.880000000000109</v>
      </c>
    </row>
    <row r="17" spans="1:11" x14ac:dyDescent="0.25">
      <c r="A17" s="11" t="s">
        <v>44</v>
      </c>
      <c r="B17" s="21">
        <f>'Data Sheet'!B67</f>
        <v>179.16</v>
      </c>
      <c r="C17" s="21">
        <f>'Data Sheet'!C67</f>
        <v>304.60000000000002</v>
      </c>
      <c r="D17" s="21">
        <f>'Data Sheet'!D67</f>
        <v>394.24</v>
      </c>
      <c r="E17" s="21">
        <f>'Data Sheet'!E67</f>
        <v>320.36</v>
      </c>
      <c r="F17" s="21">
        <f>'Data Sheet'!F67</f>
        <v>257.27</v>
      </c>
      <c r="G17" s="21">
        <f>'Data Sheet'!G67</f>
        <v>331.93</v>
      </c>
      <c r="H17" s="21">
        <f>'Data Sheet'!H67</f>
        <v>328.94</v>
      </c>
      <c r="I17" s="21">
        <f>'Data Sheet'!I67</f>
        <v>393.33</v>
      </c>
      <c r="J17" s="21">
        <f>'Data Sheet'!J67</f>
        <v>448.61</v>
      </c>
      <c r="K17" s="21">
        <f>'Data Sheet'!K67</f>
        <v>469.21</v>
      </c>
    </row>
    <row r="18" spans="1:11" x14ac:dyDescent="0.25">
      <c r="A18" s="11" t="s">
        <v>45</v>
      </c>
      <c r="B18" s="21">
        <f>'Data Sheet'!B68</f>
        <v>661.45</v>
      </c>
      <c r="C18" s="21">
        <f>'Data Sheet'!C68</f>
        <v>652.79</v>
      </c>
      <c r="D18" s="21">
        <f>'Data Sheet'!D68</f>
        <v>781.38</v>
      </c>
      <c r="E18" s="21">
        <f>'Data Sheet'!E68</f>
        <v>740.96</v>
      </c>
      <c r="F18" s="21">
        <f>'Data Sheet'!F68</f>
        <v>1091.49</v>
      </c>
      <c r="G18" s="21">
        <f>'Data Sheet'!G68</f>
        <v>1367.49</v>
      </c>
      <c r="H18" s="21">
        <f>'Data Sheet'!H68</f>
        <v>1193.26</v>
      </c>
      <c r="I18" s="21">
        <f>'Data Sheet'!I68</f>
        <v>1181.22</v>
      </c>
      <c r="J18" s="21">
        <f>'Data Sheet'!J68</f>
        <v>1236.51</v>
      </c>
      <c r="K18" s="21">
        <f>'Data Sheet'!K68</f>
        <v>1345.93</v>
      </c>
    </row>
    <row r="20" spans="1:11" x14ac:dyDescent="0.25">
      <c r="A20" s="11" t="s">
        <v>46</v>
      </c>
      <c r="B20" s="5">
        <f>IF('Profit &amp; Loss'!B4&gt;0,'Balance Sheet'!B17/('Profit &amp; Loss'!B4/365),0)</f>
        <v>7.2225259523596517</v>
      </c>
      <c r="C20" s="5">
        <f>IF('Profit &amp; Loss'!C4&gt;0,'Balance Sheet'!C17/('Profit &amp; Loss'!C4/365),0)</f>
        <v>11.2143546644691</v>
      </c>
      <c r="D20" s="5">
        <f>IF('Profit &amp; Loss'!D4&gt;0,'Balance Sheet'!D17/('Profit &amp; Loss'!D4/365),0)</f>
        <v>13.016905977292854</v>
      </c>
      <c r="E20" s="5">
        <f>IF('Profit &amp; Loss'!E4&gt;0,'Balance Sheet'!E17/('Profit &amp; Loss'!E4/365),0)</f>
        <v>10.080684164471899</v>
      </c>
      <c r="F20" s="5">
        <f>IF('Profit &amp; Loss'!F4&gt;0,'Balance Sheet'!F17/('Profit &amp; Loss'!F4/365),0)</f>
        <v>7.1484888254845034</v>
      </c>
      <c r="G20" s="5">
        <f>IF('Profit &amp; Loss'!G4&gt;0,'Balance Sheet'!G17/('Profit &amp; Loss'!G4/365),0)</f>
        <v>8.5704740857907247</v>
      </c>
      <c r="H20" s="5">
        <f>IF('Profit &amp; Loss'!H4&gt;0,'Balance Sheet'!H17/('Profit &amp; Loss'!H4/365),0)</f>
        <v>7.3655858237912222</v>
      </c>
      <c r="I20" s="5">
        <f>IF('Profit &amp; Loss'!I4&gt;0,'Balance Sheet'!I17/('Profit &amp; Loss'!I4/365),0)</f>
        <v>8.5612224026448374</v>
      </c>
      <c r="J20" s="5">
        <f>IF('Profit &amp; Loss'!J4&gt;0,'Balance Sheet'!J17/('Profit &amp; Loss'!J4/365),0)</f>
        <v>9.1258798161031791</v>
      </c>
      <c r="K20" s="5">
        <f>IF('Profit &amp; Loss'!K4&gt;0,'Balance Sheet'!K17/('Profit &amp; Loss'!K4/365),0)</f>
        <v>8.9424246237518652</v>
      </c>
    </row>
    <row r="21" spans="1:11" x14ac:dyDescent="0.25">
      <c r="A21" s="11" t="s">
        <v>47</v>
      </c>
      <c r="B21" s="5">
        <f>IF('Balance Sheet'!B18&gt;0,'Profit &amp; Loss'!B4/'Balance Sheet'!B18,0)</f>
        <v>13.688245521203417</v>
      </c>
      <c r="C21" s="5">
        <f>IF('Balance Sheet'!C18&gt;0,'Profit &amp; Loss'!C4/'Balance Sheet'!C18,0)</f>
        <v>15.18710458187166</v>
      </c>
      <c r="D21" s="5">
        <f>IF('Balance Sheet'!D18&gt;0,'Profit &amp; Loss'!D4/'Balance Sheet'!D18,0)</f>
        <v>14.147623435460339</v>
      </c>
      <c r="E21" s="5">
        <f>IF('Balance Sheet'!E18&gt;0,'Profit &amp; Loss'!E4/'Balance Sheet'!E18,0)</f>
        <v>15.654758691427336</v>
      </c>
      <c r="F21" s="5">
        <f>IF('Balance Sheet'!F18&gt;0,'Profit &amp; Loss'!F4/'Balance Sheet'!F18,0)</f>
        <v>12.035053000943664</v>
      </c>
      <c r="G21" s="5">
        <f>IF('Balance Sheet'!G18&gt;0,'Profit &amp; Loss'!G4/'Balance Sheet'!G18,0)</f>
        <v>10.33737723859041</v>
      </c>
      <c r="H21" s="5">
        <f>IF('Balance Sheet'!H18&gt;0,'Profit &amp; Loss'!H4/'Balance Sheet'!H18,0)</f>
        <v>13.660518244137908</v>
      </c>
      <c r="I21" s="5">
        <f>IF('Balance Sheet'!I18&gt;0,'Profit &amp; Loss'!I4/'Balance Sheet'!I18,0)</f>
        <v>14.196567955164999</v>
      </c>
      <c r="J21" s="5">
        <f>IF('Balance Sheet'!J18&gt;0,'Profit &amp; Loss'!J4/'Balance Sheet'!J18,0)</f>
        <v>14.510735861416405</v>
      </c>
      <c r="K21" s="5">
        <f>IF('Balance Sheet'!K18&gt;0,'Profit &amp; Loss'!K4/'Balance Sheet'!K18,0)</f>
        <v>14.229261551492277</v>
      </c>
    </row>
    <row r="23" spans="1:11" s="8" customFormat="1" x14ac:dyDescent="0.25">
      <c r="A23" s="8" t="s">
        <v>59</v>
      </c>
      <c r="B23" s="14">
        <f>IF(SUM('Balance Sheet'!B4:B5)&gt;0,'Profit &amp; Loss'!B12/SUM('Balance Sheet'!B4:B5),"")</f>
        <v>0.32801640693957174</v>
      </c>
      <c r="C23" s="14">
        <f>IF(SUM('Balance Sheet'!C4:C5)&gt;0,'Profit &amp; Loss'!C12/SUM('Balance Sheet'!C4:C5),"")</f>
        <v>0.29482154757605916</v>
      </c>
      <c r="D23" s="14">
        <f>IF(SUM('Balance Sheet'!D4:D5)&gt;0,'Profit &amp; Loss'!D12/SUM('Balance Sheet'!D4:D5),"")</f>
        <v>0.27252571562922467</v>
      </c>
      <c r="E23" s="14">
        <f>IF(SUM('Balance Sheet'!E4:E5)&gt;0,'Profit &amp; Loss'!E12/SUM('Balance Sheet'!E4:E5),"")</f>
        <v>0.31857464403576791</v>
      </c>
      <c r="F23" s="14">
        <f>IF(SUM('Balance Sheet'!F4:F5)&gt;0,'Profit &amp; Loss'!F12/SUM('Balance Sheet'!F4:F5),"")</f>
        <v>0.52538856598433892</v>
      </c>
      <c r="G23" s="14">
        <f>IF(SUM('Balance Sheet'!G4:G5)&gt;0,'Profit &amp; Loss'!G12/SUM('Balance Sheet'!G4:G5),"")</f>
        <v>0.59607521207145919</v>
      </c>
      <c r="H23" s="14">
        <f>IF(SUM('Balance Sheet'!H4:H5)&gt;0,'Profit &amp; Loss'!H12/SUM('Balance Sheet'!H4:H5),"")</f>
        <v>0.65693056840592257</v>
      </c>
      <c r="I23" s="14">
        <f>IF(SUM('Balance Sheet'!I4:I5)&gt;0,'Profit &amp; Loss'!I12/SUM('Balance Sheet'!I4:I5),"")</f>
        <v>0.54288954515009435</v>
      </c>
      <c r="J23" s="14">
        <f>IF(SUM('Balance Sheet'!J4:J5)&gt;0,'Profit &amp; Loss'!J12/SUM('Balance Sheet'!J4:J5),"")</f>
        <v>0.50019973735685486</v>
      </c>
      <c r="K23" s="14">
        <f>IF(SUM('Balance Sheet'!K4:K5)&gt;0,'Profit &amp; Loss'!K12/SUM('Balance Sheet'!K4:K5),"")</f>
        <v>0.49612459268078696</v>
      </c>
    </row>
    <row r="24" spans="1:11" s="8" customFormat="1" x14ac:dyDescent="0.25">
      <c r="A24" s="8" t="s">
        <v>60</v>
      </c>
      <c r="B24" s="14"/>
      <c r="C24" s="14">
        <f>IF((B4+B5+B6+C4+C5+C6)&gt;0,('Profit &amp; Loss'!C10+'Profit &amp; Loss'!C9)*2/(B4+B5+B6+C4+C5+C6),"")</f>
        <v>0.47473284473491384</v>
      </c>
      <c r="D24" s="14">
        <f>IF((C4+C5+C6+D4+D5+D6)&gt;0,('Profit &amp; Loss'!D10+'Profit &amp; Loss'!D9)*2/(C4+C5+C6+D4+D5+D6),"")</f>
        <v>0.44335720166662507</v>
      </c>
      <c r="E24" s="14">
        <f>IF((D4+D5+D6+E4+E5+E6)&gt;0,('Profit &amp; Loss'!E10+'Profit &amp; Loss'!E9)*2/(D4+D5+D6+E4+E5+E6),"")</f>
        <v>0.37125749660134749</v>
      </c>
      <c r="F24" s="14">
        <f>IF((E4+E5+E6+F4+F5+F6)&gt;0,('Profit &amp; Loss'!F10+'Profit &amp; Loss'!F9)*2/(E4+E5+E6+F4+F5+F6),"")</f>
        <v>0.45269607124437905</v>
      </c>
      <c r="G24" s="14">
        <f>IF((F4+F5+F6+G4+G5+G6)&gt;0,('Profit &amp; Loss'!G10+'Profit &amp; Loss'!G9)*2/(F4+F5+F6+G4+G5+G6),"")</f>
        <v>0.41567996708403848</v>
      </c>
      <c r="H24" s="14">
        <f>IF((G4+G5+G6+H4+H5+H6)&gt;0,('Profit &amp; Loss'!H10+'Profit &amp; Loss'!H9)*2/(G4+G5+G6+H4+H5+H6),"")</f>
        <v>0.55343299680060565</v>
      </c>
      <c r="I24" s="14">
        <f>IF((H4+H5+H6+I4+I5+I6)&gt;0,('Profit &amp; Loss'!I10+'Profit &amp; Loss'!I9)*2/(H4+H5+H6+I4+I5+I6),"")</f>
        <v>0.49089815698047234</v>
      </c>
      <c r="J24" s="14">
        <f>IF((I4+I5+I6+J4+J5+J6)&gt;0,('Profit &amp; Loss'!J10+'Profit &amp; Loss'!J9)*2/(I4+I5+I6+J4+J5+J6),"")</f>
        <v>0.52811552704822506</v>
      </c>
      <c r="K24" s="14">
        <f>IF((J4+J5+J6+K4+K5+K6)&gt;0,('Profit &amp; Loss'!K10+'Profit &amp; Loss'!K9)*2/(J4+J5+J6+K4+K5+K6),"")</f>
        <v>0.56274634856113825</v>
      </c>
    </row>
    <row r="25" spans="1:11" s="18" customFormat="1" x14ac:dyDescent="0.25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G13" sqref="G13"/>
    </sheetView>
  </sheetViews>
  <sheetFormatPr defaultColWidth="8.85546875" defaultRowHeight="15" x14ac:dyDescent="0.25"/>
  <cols>
    <col min="1" max="1" width="26.85546875" style="6" bestFit="1" customWidth="1"/>
    <col min="2" max="6" width="13.42578125" style="6" customWidth="1"/>
    <col min="7" max="11" width="13.42578125" style="6" bestFit="1" customWidth="1"/>
    <col min="12" max="16384" width="8.85546875" style="6"/>
  </cols>
  <sheetData>
    <row r="1" spans="1:11" s="8" customFormat="1" x14ac:dyDescent="0.25">
      <c r="A1" s="8" t="str">
        <f>'Balance Sheet'!A1</f>
        <v>BRITANNIA INDUSTRIES LTD</v>
      </c>
      <c r="E1" t="str">
        <f>UPDATE</f>
        <v/>
      </c>
      <c r="F1"/>
      <c r="J1" s="4" t="s">
        <v>1</v>
      </c>
      <c r="K1" s="4"/>
    </row>
    <row r="3" spans="1:11" s="2" customFormat="1" x14ac:dyDescent="0.25">
      <c r="A3" s="15" t="s">
        <v>2</v>
      </c>
      <c r="B3" s="16">
        <f>'Data Sheet'!B81</f>
        <v>42825</v>
      </c>
      <c r="C3" s="16">
        <f>'Data Sheet'!C81</f>
        <v>43190</v>
      </c>
      <c r="D3" s="16">
        <f>'Data Sheet'!D81</f>
        <v>43555</v>
      </c>
      <c r="E3" s="16">
        <f>'Data Sheet'!E81</f>
        <v>43921</v>
      </c>
      <c r="F3" s="16">
        <f>'Data Sheet'!F81</f>
        <v>44286</v>
      </c>
      <c r="G3" s="16">
        <f>'Data Sheet'!G81</f>
        <v>44651</v>
      </c>
      <c r="H3" s="16">
        <f>'Data Sheet'!H81</f>
        <v>45016</v>
      </c>
      <c r="I3" s="16">
        <f>'Data Sheet'!I81</f>
        <v>45382</v>
      </c>
      <c r="J3" s="16">
        <f>'Data Sheet'!J81</f>
        <v>45747</v>
      </c>
      <c r="K3" s="16">
        <f>'Data Sheet'!K81</f>
        <v>46112</v>
      </c>
    </row>
    <row r="4" spans="1:11" s="8" customFormat="1" x14ac:dyDescent="0.25">
      <c r="A4" s="8" t="s">
        <v>32</v>
      </c>
      <c r="B4" s="1">
        <f>'Data Sheet'!B82</f>
        <v>441.28</v>
      </c>
      <c r="C4" s="1">
        <f>'Data Sheet'!C82</f>
        <v>1248.77</v>
      </c>
      <c r="D4" s="1">
        <f>'Data Sheet'!D82</f>
        <v>1155.78</v>
      </c>
      <c r="E4" s="1">
        <f>'Data Sheet'!E82</f>
        <v>1484.53</v>
      </c>
      <c r="F4" s="1">
        <f>'Data Sheet'!F82</f>
        <v>1851.07</v>
      </c>
      <c r="G4" s="1">
        <f>'Data Sheet'!G82</f>
        <v>1299.52</v>
      </c>
      <c r="H4" s="1">
        <f>'Data Sheet'!H82</f>
        <v>2526.21</v>
      </c>
      <c r="I4" s="1">
        <f>'Data Sheet'!I82</f>
        <v>2572.98</v>
      </c>
      <c r="J4" s="1">
        <f>'Data Sheet'!J82</f>
        <v>2490.62</v>
      </c>
      <c r="K4" s="1">
        <f>'Data Sheet'!K82</f>
        <v>2611.6</v>
      </c>
    </row>
    <row r="5" spans="1:11" x14ac:dyDescent="0.25">
      <c r="A5" s="6" t="s">
        <v>33</v>
      </c>
      <c r="B5" s="9">
        <f>'Data Sheet'!B83</f>
        <v>-149.85</v>
      </c>
      <c r="C5" s="9">
        <f>'Data Sheet'!C83</f>
        <v>-956.52</v>
      </c>
      <c r="D5" s="9">
        <f>'Data Sheet'!D83</f>
        <v>-852.22</v>
      </c>
      <c r="E5" s="9">
        <f>'Data Sheet'!E83</f>
        <v>-1525.93</v>
      </c>
      <c r="F5" s="9">
        <f>'Data Sheet'!F83</f>
        <v>458.82</v>
      </c>
      <c r="G5" s="9">
        <f>'Data Sheet'!G83</f>
        <v>914.19</v>
      </c>
      <c r="H5" s="9">
        <f>'Data Sheet'!H83</f>
        <v>-1507</v>
      </c>
      <c r="I5" s="9">
        <f>'Data Sheet'!I83</f>
        <v>485.44</v>
      </c>
      <c r="J5" s="9">
        <f>'Data Sheet'!J83</f>
        <v>69.069999999999993</v>
      </c>
      <c r="K5" s="9">
        <f>'Data Sheet'!K83</f>
        <v>-741.38</v>
      </c>
    </row>
    <row r="6" spans="1:11" x14ac:dyDescent="0.25">
      <c r="A6" s="6" t="s">
        <v>34</v>
      </c>
      <c r="B6" s="9">
        <f>'Data Sheet'!B84</f>
        <v>-295.08</v>
      </c>
      <c r="C6" s="9">
        <f>'Data Sheet'!C84</f>
        <v>-231.75</v>
      </c>
      <c r="D6" s="9">
        <f>'Data Sheet'!D84</f>
        <v>-352.68</v>
      </c>
      <c r="E6" s="9">
        <f>'Data Sheet'!E84</f>
        <v>57.94</v>
      </c>
      <c r="F6" s="9">
        <f>'Data Sheet'!F84</f>
        <v>-2243.69</v>
      </c>
      <c r="G6" s="9">
        <f>'Data Sheet'!G84</f>
        <v>-2245.84</v>
      </c>
      <c r="H6" s="9">
        <f>'Data Sheet'!H84</f>
        <v>-1028.3699999999999</v>
      </c>
      <c r="I6" s="9">
        <f>'Data Sheet'!I84</f>
        <v>-2839.13</v>
      </c>
      <c r="J6" s="9">
        <f>'Data Sheet'!J84</f>
        <v>-2753.9</v>
      </c>
      <c r="K6" s="9">
        <f>'Data Sheet'!K84</f>
        <v>-1782.62</v>
      </c>
    </row>
    <row r="7" spans="1:11" s="8" customFormat="1" x14ac:dyDescent="0.25">
      <c r="A7" s="8" t="s">
        <v>35</v>
      </c>
      <c r="B7" s="1">
        <f>'Data Sheet'!B85</f>
        <v>-3.65</v>
      </c>
      <c r="C7" s="1">
        <f>'Data Sheet'!C85</f>
        <v>60.5</v>
      </c>
      <c r="D7" s="1">
        <f>'Data Sheet'!D85</f>
        <v>-49.12</v>
      </c>
      <c r="E7" s="1">
        <f>'Data Sheet'!E85</f>
        <v>16.54</v>
      </c>
      <c r="F7" s="1">
        <f>'Data Sheet'!F85</f>
        <v>66.2</v>
      </c>
      <c r="G7" s="1">
        <f>'Data Sheet'!G85</f>
        <v>-32.130000000000003</v>
      </c>
      <c r="H7" s="1">
        <f>'Data Sheet'!H85</f>
        <v>-9.16</v>
      </c>
      <c r="I7" s="1">
        <f>'Data Sheet'!I85</f>
        <v>219.29</v>
      </c>
      <c r="J7" s="1">
        <f>'Data Sheet'!J85</f>
        <v>-194.21</v>
      </c>
      <c r="K7" s="1">
        <f>'Data Sheet'!K85</f>
        <v>87.6</v>
      </c>
    </row>
    <row r="8" spans="1:11" x14ac:dyDescent="0.25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5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85546875" defaultRowHeight="15" x14ac:dyDescent="0.25"/>
  <cols>
    <col min="1" max="1" width="8.85546875" style="8"/>
    <col min="2" max="2" width="10.42578125" style="11" customWidth="1"/>
    <col min="3" max="3" width="13.28515625" style="26" customWidth="1"/>
    <col min="4" max="5" width="8.85546875" style="11"/>
    <col min="6" max="6" width="6.85546875" style="11" customWidth="1"/>
    <col min="7" max="16384" width="8.85546875" style="11"/>
  </cols>
  <sheetData>
    <row r="1" spans="1:7" ht="21" x14ac:dyDescent="0.35">
      <c r="A1" s="25" t="s">
        <v>56</v>
      </c>
    </row>
    <row r="3" spans="1:7" x14ac:dyDescent="0.25">
      <c r="A3" s="8" t="s">
        <v>48</v>
      </c>
    </row>
    <row r="4" spans="1:7" x14ac:dyDescent="0.25">
      <c r="B4" s="11" t="s">
        <v>90</v>
      </c>
    </row>
    <row r="5" spans="1:7" x14ac:dyDescent="0.25">
      <c r="B5" s="11" t="s">
        <v>49</v>
      </c>
    </row>
    <row r="7" spans="1:7" x14ac:dyDescent="0.25">
      <c r="A7" s="8" t="s">
        <v>50</v>
      </c>
    </row>
    <row r="8" spans="1:7" x14ac:dyDescent="0.25">
      <c r="B8" s="11" t="s">
        <v>51</v>
      </c>
      <c r="C8" s="27" t="s">
        <v>91</v>
      </c>
    </row>
    <row r="10" spans="1:7" x14ac:dyDescent="0.25">
      <c r="A10" s="8" t="s">
        <v>52</v>
      </c>
    </row>
    <row r="11" spans="1:7" x14ac:dyDescent="0.25">
      <c r="B11" s="11" t="s">
        <v>53</v>
      </c>
    </row>
    <row r="14" spans="1:7" x14ac:dyDescent="0.25">
      <c r="A14" s="8" t="s">
        <v>54</v>
      </c>
    </row>
    <row r="15" spans="1:7" x14ac:dyDescent="0.25">
      <c r="B15" s="11" t="s">
        <v>55</v>
      </c>
    </row>
    <row r="16" spans="1:7" x14ac:dyDescent="0.25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3260F3-FAEA-4F26-B6F1-89E2EA3BEA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Profit &amp; Loss</vt:lpstr>
      <vt:lpstr>Data Sheet</vt:lpstr>
      <vt:lpstr>Quarters</vt:lpstr>
      <vt:lpstr>Dashboard</vt:lpstr>
      <vt:lpstr>Model_Data</vt:lpstr>
      <vt:lpstr>Commentary</vt:lpstr>
      <vt:lpstr>Trend</vt:lpstr>
      <vt:lpstr>Budget vs Actual</vt:lpstr>
      <vt:lpstr>Forecast</vt:lpstr>
      <vt:lpstr>Balance Sheet</vt:lpstr>
      <vt:lpstr>Cash Flow</vt:lpstr>
      <vt:lpstr>Customization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riyassakeer786@gmail.com</cp:lastModifiedBy>
  <cp:lastPrinted>2026-10-03T06:14:33Z</cp:lastPrinted>
  <dcterms:created xsi:type="dcterms:W3CDTF">2012-08-17T09:55:37Z</dcterms:created>
  <dcterms:modified xsi:type="dcterms:W3CDTF">2026-10-12T05:07:55Z</dcterms:modified>
</cp:coreProperties>
</file>